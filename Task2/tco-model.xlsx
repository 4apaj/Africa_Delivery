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Инструкция" sheetId="1" state="visible" r:id="rId3"/>
    <sheet name="Сравнение" sheetId="2" state="visible" r:id="rId4"/>
    <sheet name="Цена ошибки" sheetId="3" state="visible" r:id="rId5"/>
    <sheet name="Допущения A" sheetId="4" state="visible" r:id="rId6"/>
    <sheet name="TCO A" sheetId="5" state="visible" r:id="rId7"/>
    <sheet name="Допущения B" sheetId="6" state="visible" r:id="rId8"/>
    <sheet name="TCO B" sheetId="7" state="visible" r:id="rId9"/>
    <sheet name="Допущения C" sheetId="8" state="visible" r:id="rId10"/>
    <sheet name="TCO C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<sst xmlns="http://schemas.openxmlformats.org/spreadsheetml/2006/main" count="748" uniqueCount="308">
  <si>
    <t xml:space="preserve">Модель TCO (Total Cost of Ownership) - кейс «Africa Delivery», горизонт 5 лет</t>
  </si>
  <si>
    <t xml:space="preserve">Зачем этот файл</t>
  </si>
  <si>
    <t xml:space="preserve">Задача</t>
  </si>
  <si>
    <t xml:space="preserve">Оценить полную стоимость владения выбранным архитектурным вариантом на 5 лет и использовать цифры как аргумент в ADR №1 («Выбор архитектурного стиля»).</t>
  </si>
  <si>
    <t xml:space="preserve">Как использовать</t>
  </si>
  <si>
    <t xml:space="preserve">Заполни один и тот же шаблон для каждого рассматриваемого варианта (например: модульный монолит / SOA / микросервисы) - сравнивать нужно итоги, а не ощущения.</t>
  </si>
  <si>
    <t xml:space="preserve">Цветовая легенда</t>
  </si>
  <si>
    <t xml:space="preserve">Синий текст на жёлтом фоне</t>
  </si>
  <si>
    <t xml:space="preserve">Ячейки для заполнения. Только их и редактируем.</t>
  </si>
  <si>
    <t xml:space="preserve">Чёрный текст</t>
  </si>
  <si>
    <t xml:space="preserve">Формулы. Не трогаем - пересчитаются сами.</t>
  </si>
  <si>
    <t xml:space="preserve">Зелёный текст</t>
  </si>
  <si>
    <t xml:space="preserve">Ссылка на лист «Допущения».</t>
  </si>
  <si>
    <t xml:space="preserve">Порядок работы</t>
  </si>
  <si>
    <t xml:space="preserve">Шаг 1</t>
  </si>
  <si>
    <t xml:space="preserve">Лист «Допущения» -&gt; блок 1: вбить драйверы бизнеса по годам (активные пользователи, число заказов, средний чек). Из них считается GMV.</t>
  </si>
  <si>
    <t xml:space="preserve">Шаг 2</t>
  </si>
  <si>
    <t xml:space="preserve">Лист «Допущения» -&gt; блок 2: финансовые допущения (инфляция, рост ФОТ, ставка дисконтирования, резерв, целевой SLO).</t>
  </si>
  <si>
    <t xml:space="preserve">Шаг 3</t>
  </si>
  <si>
    <t xml:space="preserve">Лист «TCO» -&gt; в колонке «База, $/год (Год 1)» указать затраты первого года по каждой статье. Лишние статьи оставить пустыми, свои - дописать в свободные строки.</t>
  </si>
  <si>
    <t xml:space="preserve">Шаг 4</t>
  </si>
  <si>
    <t xml:space="preserve">Лист «TCO» -&gt; в колонке «Драйвер роста» выбрать из выпадающего списка, от чего растёт статья: фикс / инфляция / ФОТ / пользователи / заказы / GMV. Годы 2–5 посчитаются сами.</t>
  </si>
  <si>
    <t xml:space="preserve">Шаг 5</t>
  </si>
  <si>
    <t xml:space="preserve">Посмотреть блок «Ключевые метрики» внизу листа «TCO»: итог за 5 лет, NPV, стоимость на заказ, проверку бюджета CFO ($9k/мес на облако).</t>
  </si>
  <si>
    <t xml:space="preserve">Что важно не забыть в этом кейсе</t>
  </si>
  <si>
    <t xml:space="preserve">Бюджет CFO</t>
  </si>
  <si>
    <t xml:space="preserve">$5 000/мес на облако и SaaS (A6 п.1). $9 000 - цифра из board deck, разработке недоступна. Проверка в модели считает блоки 1+2.</t>
  </si>
  <si>
    <t xml:space="preserve">Цена простоя</t>
  </si>
  <si>
    <t xml:space="preserve">Инвестор оценивает минуту простоя в $12 000. Целевой SLO 99,99% = 52,6 мин/год ≈ $631k. Этот риск считается отдельным блоком - сравни его со стоимостью резервирования.</t>
  </si>
  <si>
    <t xml:space="preserve">Транзакционные расходы</t>
  </si>
  <si>
    <t xml:space="preserve">Комиссии M-Pesa / Flutterwave / Paystack, SMS и WhatsApp растут с GMV и числом заказов и на горизонте 5 лет обычно обгоняют инфраструктуру. Не забудь их - это типичная ошибка.</t>
  </si>
  <si>
    <t xml:space="preserve">Сравнение вариантов</t>
  </si>
  <si>
    <t xml:space="preserve">Транзакционные расходы (блок 3) почти одинаковы для любой архитектуры - это pass-through от оборота. Варианты архитектуры сравнивай по блокам 1, 2, 4 и 6.</t>
  </si>
  <si>
    <t xml:space="preserve">Разовые затраты</t>
  </si>
  <si>
    <t xml:space="preserve">Комплаенс-аудит NDPR/POPIA, пентест, миграция - если статья возникает не каждый год, просто перезапиши формулу в нужной ячейке года числом (и покрась в синий).</t>
  </si>
  <si>
    <t xml:space="preserve">Люди</t>
  </si>
  <si>
    <t xml:space="preserve">ФОТ команды - обычно самая крупная статья TCO. Микросервисы дешевле в масштабировании, но дороже в эксплуатации: это должно быть видно в цифрах, а не только в тексте ADR.</t>
  </si>
  <si>
    <t xml:space="preserve">Как устроен этот файл (Africa Delivery, задание 2)</t>
  </si>
  <si>
    <t xml:space="preserve">Листы</t>
  </si>
  <si>
    <t xml:space="preserve">На каждый вариант - копия шаблона: «Допущения A/B/C» + «TCO A/B/C». Драйверы бизнеса заданы один раз в «Допущения A», остальные ссылаются на них. Итоги - на листах «Сравнение» и «Цена ошибки».</t>
  </si>
  <si>
    <t xml:space="preserve">Отличия от шаблона</t>
  </si>
  <si>
    <t xml:space="preserve">Бюджет CFO = $5 000 (A6 п.1, а не $9k). Проверка бюджета считает блоки 1+2 (облако + SaaS). Добавлен драйвер «масштаб» = пользователи^0,7. ФОТ задан по FTE на каждый год. Разовые статьи в годах 2–5 обнулены вручную. Блок 6 считает минуту простоя от GMV (плоские $12k - в чувствительности).</t>
  </si>
  <si>
    <t xml:space="preserve">Сравнение вариантов - ключевые метрики (считаются из листов TCO A/B/C)</t>
  </si>
  <si>
    <t xml:space="preserve">Метрика</t>
  </si>
  <si>
    <t xml:space="preserve">A: Модульный монолит</t>
  </si>
  <si>
    <t xml:space="preserve">B: Сервисная (6)</t>
  </si>
  <si>
    <t xml:space="preserve">C: Микросервисы CTO</t>
  </si>
  <si>
    <t xml:space="preserve">Комментарий</t>
  </si>
  <si>
    <t xml:space="preserve">Облако + SaaS, $/мес, Год 1</t>
  </si>
  <si>
    <t xml:space="preserve">Лимит CFO $5 000 (A6 п.1)</t>
  </si>
  <si>
    <t xml:space="preserve">Проверка бюджета CFO</t>
  </si>
  <si>
    <t xml:space="preserve">Блок 1+2 за 5 лет, $</t>
  </si>
  <si>
    <t xml:space="preserve">Команда (ФОТ) за 5 лет, $</t>
  </si>
  <si>
    <t xml:space="preserve">Крупнейшая архитектурно-зависимая статья</t>
  </si>
  <si>
    <t xml:space="preserve">Разовые и комплаенс за 5 лет, $</t>
  </si>
  <si>
    <t xml:space="preserve">Транзакционные за 5 лет, $</t>
  </si>
  <si>
    <t xml:space="preserve">Одинаковы для всех вариантов (pass-through)</t>
  </si>
  <si>
    <t xml:space="preserve">TCO 5 лет, прямые затраты, $</t>
  </si>
  <si>
    <t xml:space="preserve">Архитектурно-зависимые затраты 5 лет, $</t>
  </si>
  <si>
    <t xml:space="preserve">Блоки 1,2,4,5 + резерв</t>
  </si>
  <si>
    <t xml:space="preserve">Стоимость простоя 5 лет (от GMV), $</t>
  </si>
  <si>
    <t xml:space="preserve">MIN($12k; GMV/мин × 5)</t>
  </si>
  <si>
    <t xml:space="preserve">TCO 5 лет с простоем (от GMV), $</t>
  </si>
  <si>
    <t xml:space="preserve">NPV затрат 5 лет, $</t>
  </si>
  <si>
    <t xml:space="preserve">Ставка 20%</t>
  </si>
  <si>
    <t xml:space="preserve">Стоимость заказа, Год 1, $</t>
  </si>
  <si>
    <t xml:space="preserve">A6: на объёмах запуска</t>
  </si>
  <si>
    <t xml:space="preserve">Стоимость заказа, Год 2, $</t>
  </si>
  <si>
    <t xml:space="preserve">A6: через 12 месяцев</t>
  </si>
  <si>
    <t xml:space="preserve">ИТ без транзакционных на заказ, Год 1, $</t>
  </si>
  <si>
    <t xml:space="preserve">ИТ без транзакционных на заказ, Год 2, $</t>
  </si>
  <si>
    <t xml:space="preserve">TCO на заказ за 5 лет, $</t>
  </si>
  <si>
    <t xml:space="preserve">ИТ-затраты как доля GMV (5 лет)</t>
  </si>
  <si>
    <t xml:space="preserve">SLO</t>
  </si>
  <si>
    <t xml:space="preserve">Простой при плоских $12k/мин, 5 лет, $</t>
  </si>
  <si>
    <t xml:space="preserve">Чувствительность: если верить $12k/мин всегда</t>
  </si>
  <si>
    <t xml:space="preserve">TCO 5 лет с простоем при $12k/мин, $</t>
  </si>
  <si>
    <t xml:space="preserve">Точка безубыточности высокой доступности</t>
  </si>
  <si>
    <t xml:space="preserve">Доп. затраты C над A в Год 2, $/год</t>
  </si>
  <si>
    <t xml:space="preserve">Минут простоя, которые экономит 99,99% против 99,9%, в год</t>
  </si>
  <si>
    <t xml:space="preserve">Безубыточная стоимость минуты простоя, $</t>
  </si>
  <si>
    <t xml:space="preserve">GMV в год, при котором средняя минута (×5 пик) стоит столько, $</t>
  </si>
  <si>
    <t xml:space="preserve">Вывод: пока GMV ниже этого уровня, переплата за 99,99% в стиле C больше предотвращённых потерь. Это триггер пересмотра, а не довод в пользу стиля C.</t>
  </si>
  <si>
    <t xml:space="preserve">Цена ошибки (запрос CFO, A6): построили под 10 млн - пришло 50 тыс., и обратный случай</t>
  </si>
  <si>
    <t xml:space="preserve">Сценарий 1. Построили под 10M (вариант C), пришло 50 000 пользователей</t>
  </si>
  <si>
    <t xml:space="preserve">Горизонт оценки, мес (runway, A6 п.3)</t>
  </si>
  <si>
    <t xml:space="preserve">Облако+SaaS C, Год 1, $/мес (почти не зависит от трафика: ёмкость выделена под 10M)</t>
  </si>
  <si>
    <t xml:space="preserve">Облако+SaaS A при 50k пользователей, $/мес (минимальный размер ~ Год 1)</t>
  </si>
  <si>
    <t xml:space="preserve">Лишняя инфраструктура за горизонт, $</t>
  </si>
  <si>
    <t xml:space="preserve">Лишняя команда за горизонт (ФОТ C − ФОТ A, Год 1), $</t>
  </si>
  <si>
    <t xml:space="preserve">Лишние разовые (найм, интеграции; лицензия Oracle уже в строке 6), $</t>
  </si>
  <si>
    <t xml:space="preserve">ИТОГО потрачено впустую за 9 месяцев, $</t>
  </si>
  <si>
    <t xml:space="preserve">Для сравнения: весь лимит облака CFO за 9 месяцев, $</t>
  </si>
  <si>
    <t xml:space="preserve">Сценарий 2. Построили модульный монолит (A), пришло 10M - стоимость переделки</t>
  </si>
  <si>
    <t xml:space="preserve">Выделение горячих модулей в сервисы (каталог/поиск, заказ/оплата, уведомления), чел.-мес</t>
  </si>
  <si>
    <t xml:space="preserve">Ставка, $/чел.-мес</t>
  </si>
  <si>
    <t xml:space="preserve">Переход на managed Kafka-совместимый брокер и шардирование БД, чел.-мес</t>
  </si>
  <si>
    <t xml:space="preserve">Временное усиление SRE на 6 мес, $</t>
  </si>
  <si>
    <t xml:space="preserve">ИТОГО стоимость переделки, $</t>
  </si>
  <si>
    <t xml:space="preserve">Почему дёшево: границы модулей = будущие границы сервисов, outbox-события уже есть; переписывания нет, есть вынос.</t>
  </si>
  <si>
    <t xml:space="preserve">Асимметрия: ошибка «построили большое» стоит в несколько раз больше, чем «построили малое и выросли», и наступает сразу, а не при успехе.</t>
  </si>
  <si>
    <t xml:space="preserve">Допущения модели TCO - вариант A: Модульный монолит</t>
  </si>
  <si>
    <t xml:space="preserve">Заполняются только ячейки с жёлтой заливкой. Все числа ниже - пример, заменить своими.</t>
  </si>
  <si>
    <t xml:space="preserve">1. Драйверы бизнеса - заполнить</t>
  </si>
  <si>
    <t xml:space="preserve">Показатель</t>
  </si>
  <si>
    <t xml:space="preserve">Год 1</t>
  </si>
  <si>
    <t xml:space="preserve">Год 2</t>
  </si>
  <si>
    <t xml:space="preserve">Год 3</t>
  </si>
  <si>
    <t xml:space="preserve">Год 4</t>
  </si>
  <si>
    <t xml:space="preserve">Год 5</t>
  </si>
  <si>
    <t xml:space="preserve">Комментарий / источник</t>
  </si>
  <si>
    <t xml:space="preserve">Активные пользователи (на конец года)</t>
  </si>
  <si>
    <t xml:space="preserve">База: &gt;1 млн зарегистрированных за 12 мес (кейс), 400k активных на конец Г1; рост до 15 стран (A1)</t>
  </si>
  <si>
    <t xml:space="preserve">Число заказов в год</t>
  </si>
  <si>
    <t xml:space="preserve">1,5 заказа на активного в Г1, растёт с частотой покупок</t>
  </si>
  <si>
    <t xml:space="preserve">Средний чек (AOV), $</t>
  </si>
  <si>
    <t xml:space="preserve">Низкая цена - ставка кейса; Android &lt; $150 (A2)</t>
  </si>
  <si>
    <t xml:space="preserve">GMV, $ в год (расчёт)</t>
  </si>
  <si>
    <t xml:space="preserve">Расчёт: заказы × средний чек</t>
  </si>
  <si>
    <t xml:space="preserve">2. Финансовые допущения - заполнить</t>
  </si>
  <si>
    <t xml:space="preserve">Параметр</t>
  </si>
  <si>
    <t xml:space="preserve">Значение</t>
  </si>
  <si>
    <t xml:space="preserve">Инфляция затрат, % в год</t>
  </si>
  <si>
    <t xml:space="preserve">Применяется к статьям с драйвером «инфляция»</t>
  </si>
  <si>
    <t xml:space="preserve">Рост ФОТ, % в год</t>
  </si>
  <si>
    <t xml:space="preserve">Дефицит ИТ-специалистов на рынке - рост выше инфляции</t>
  </si>
  <si>
    <t xml:space="preserve">Ставка дисконтирования, % в год</t>
  </si>
  <si>
    <t xml:space="preserve">Для расчёта NPV затрат. Стартап, высокий риск</t>
  </si>
  <si>
    <t xml:space="preserve">Резерв на непредвиденное (contingency), %</t>
  </si>
  <si>
    <t xml:space="preserve">Надбавка к прямым затратам</t>
  </si>
  <si>
    <t xml:space="preserve">Бюджет CFO на облако, $/мес</t>
  </si>
  <si>
    <t xml:space="preserve">A6 п.1: $5 000/мес - жёсткий потолок, включая мониторинг и SaaS. $9 000 - цифра из board deck, разработке недоступна</t>
  </si>
  <si>
    <t xml:space="preserve">Стоимость минуты простоя, $</t>
  </si>
  <si>
    <t xml:space="preserve">Оценка инвестора «в распродажу» (A1, A7). В блоке 6 минута считается от GMV, плоские $12k - на листе «Сравнение»</t>
  </si>
  <si>
    <t xml:space="preserve">Целевой SLO (доступность), %</t>
  </si>
  <si>
    <t xml:space="preserve">Мультизонно в одной стране; управляемая деградация</t>
  </si>
  <si>
    <t xml:space="preserve">Учитывать стоимость простоя в TCO (1 - да, 0 - нет)</t>
  </si>
  <si>
    <t xml:space="preserve">Переключатель для сценарного анализа</t>
  </si>
  <si>
    <t xml:space="preserve">Коэффициент пиковости простоя (× к средней GMV/мин)</t>
  </si>
  <si>
    <t xml:space="preserve">Сбои концентрируются в часы пик и распродаж</t>
  </si>
  <si>
    <t xml:space="preserve">3. Индексы роста - расчёт, не редактировать</t>
  </si>
  <si>
    <t xml:space="preserve">Драйвер</t>
  </si>
  <si>
    <t xml:space="preserve">Как считается</t>
  </si>
  <si>
    <t xml:space="preserve">фикс</t>
  </si>
  <si>
    <t xml:space="preserve">Затраты не меняются по годам</t>
  </si>
  <si>
    <t xml:space="preserve">инфляция</t>
  </si>
  <si>
    <t xml:space="preserve">Год N = Год N-1 × (1 + инфляция)</t>
  </si>
  <si>
    <t xml:space="preserve">ФОТ</t>
  </si>
  <si>
    <t xml:space="preserve">Год N = Год N-1 × (1 + рост ФОТ)</t>
  </si>
  <si>
    <t xml:space="preserve">пользователи</t>
  </si>
  <si>
    <t xml:space="preserve">Пропорционально числу активных пользователей</t>
  </si>
  <si>
    <t xml:space="preserve">заказы</t>
  </si>
  <si>
    <t xml:space="preserve">Пропорционально числу заказов</t>
  </si>
  <si>
    <t xml:space="preserve">GMV</t>
  </si>
  <si>
    <t xml:space="preserve">Пропорционально обороту</t>
  </si>
  <si>
    <t xml:space="preserve">масштаб</t>
  </si>
  <si>
    <t xml:space="preserve">Сублинейный рост инфраструктуры: (пользователи)^0,7 - эффект масштаба (см. примечание B32)</t>
  </si>
  <si>
    <t xml:space="preserve">Драйвер «пользователи» - упрощение: облачные расходы редко растут строго линейно (есть эффект масштаба и обратный эффект - рост нагрузки на БД). При желании введи свой драйвер отдельной строкой в таблице индексов.</t>
  </si>
  <si>
    <t xml:space="preserve">Драйвер «масштаб» добавлен по рекомендации B32; все варианты используют одинаковые драйверы.</t>
  </si>
  <si>
    <t xml:space="preserve">TCO на 5 лет - вариант A: Модульный монолит</t>
  </si>
  <si>
    <t xml:space="preserve">Заполняем колонки «Драйвер роста» и «База, $/год (Год 1)». Годы 1–5 считаются автоматически.</t>
  </si>
  <si>
    <t xml:space="preserve">Статья затрат</t>
  </si>
  <si>
    <t xml:space="preserve">Драйвер роста</t>
  </si>
  <si>
    <t xml:space="preserve">База, $/год (Год 1)</t>
  </si>
  <si>
    <t xml:space="preserve">Итого 5 лет</t>
  </si>
  <si>
    <t xml:space="preserve">Доля</t>
  </si>
  <si>
    <t xml:space="preserve">БЛОК 1. Облачная инфраструктура (OpEx)</t>
  </si>
  <si>
    <t xml:space="preserve">Compute: ноды / контейнеры / serverless</t>
  </si>
  <si>
    <t xml:space="preserve">Один кластер Kubernetes на страну (NG, KE): 3 ноды по 4 vCPU, автоскейлинг. ~$1 200/мес</t>
  </si>
  <si>
    <t xml:space="preserve">Управляемые БД (PostgreSQL, реплики)</t>
  </si>
  <si>
    <t xml:space="preserve">Managed PostgreSQL: primary + синхронная реплика в другой AZ, по стране. ~$800/мес</t>
  </si>
  <si>
    <t xml:space="preserve">Хранилище объектов и резервные копии</t>
  </si>
  <si>
    <t xml:space="preserve">S3-совместимое хранилище: фото 5 000 SKU в WebP, бэкапы</t>
  </si>
  <si>
    <t xml:space="preserve">CDN и исходящий трафик</t>
  </si>
  <si>
    <t xml:space="preserve">CDN, адаптивные изображения (A2: мегабайты считают)</t>
  </si>
  <si>
    <t xml:space="preserve">Очереди / стриминг (Kafka, SQS)</t>
  </si>
  <si>
    <t xml:space="preserve">Outbox в PostgreSQL + NATS JetStream в кластере; Kafka не нужна до триггера</t>
  </si>
  <si>
    <t xml:space="preserve">Резервный регион / DR</t>
  </si>
  <si>
    <t xml:space="preserve">Холодный DR: бэкапы в соседний ЦОД страны + IaC, RTO ≤ 4 ч</t>
  </si>
  <si>
    <t xml:space="preserve">Локальное размещение данных (NDPR, Нигерия)</t>
  </si>
  <si>
    <t xml:space="preserve">Надбавка локальных площадок Лагос/Найроби к цене hyperscaler (C-07)</t>
  </si>
  <si>
    <t xml:space="preserve">Своя статья</t>
  </si>
  <si>
    <t xml:space="preserve">Итого по блоку</t>
  </si>
  <si>
    <t xml:space="preserve">БЛОК 2. Лицензии, SaaS и инструменты</t>
  </si>
  <si>
    <t xml:space="preserve">Observability (метрики, логи, трейсинг)</t>
  </si>
  <si>
    <t xml:space="preserve">OSS: Prometheus + Loki + Grafana + Tempo в кластере (только хранилище)</t>
  </si>
  <si>
    <t xml:space="preserve">CI/CD, репозиторий, артефакты</t>
  </si>
  <si>
    <t xml:space="preserve">GitHub Team + Actions, ArgoCD (OSS)</t>
  </si>
  <si>
    <t xml:space="preserve">Безопасность: WAF, секреты, антифрод</t>
  </si>
  <si>
    <t xml:space="preserve">WAF/CDN-защита, секреты (OSS Vault/SOPS)</t>
  </si>
  <si>
    <t xml:space="preserve">WhatsApp Business API (подписка)</t>
  </si>
  <si>
    <t xml:space="preserve">Подписка BSP на WhatsApp Business API</t>
  </si>
  <si>
    <t xml:space="preserve">Прочее ПО и подписки</t>
  </si>
  <si>
    <t xml:space="preserve">Трекер, дизайн</t>
  </si>
  <si>
    <t xml:space="preserve">БЛОК 3. Транзакционные расходы (Buy / Partner)</t>
  </si>
  <si>
    <t xml:space="preserve">Комиссии платёжных провайдеров</t>
  </si>
  <si>
    <t xml:space="preserve">Комиссии PSP 2,3% GMV (лимит CFO 2,5%, A6 п.6): M-Pesa, Flutterwave, Paystack</t>
  </si>
  <si>
    <t xml:space="preserve">SMS-уведомления</t>
  </si>
  <si>
    <t xml:space="preserve">SMS: 3 транзакционных SMS на заказ × $0,02 (только opt-in, C-08)</t>
  </si>
  <si>
    <t xml:space="preserve">WhatsApp-сообщения (за диалог)</t>
  </si>
  <si>
    <t xml:space="preserve">WhatsApp: 0,5 utility-диалога на заказ × $0,03</t>
  </si>
  <si>
    <t xml:space="preserve">Логистика: интеграции и комиссии партнёров</t>
  </si>
  <si>
    <t xml:space="preserve">Платформенный сбор Sendbox/Sendy $0,10 за отправление (доставку оплачивает покупатель)</t>
  </si>
  <si>
    <t xml:space="preserve">USSD-шлюз (сессии)</t>
  </si>
  <si>
    <t xml:space="preserve">USSD-сессии: 20% заказов × 3 сессии × $0,02</t>
  </si>
  <si>
    <t xml:space="preserve">БЛОК 4. Команда (ФОТ)</t>
  </si>
  <si>
    <t xml:space="preserve">Разработка (FTE × годовая ставка)</t>
  </si>
  <si>
    <t xml:space="preserve">Go-разработчики: 5 из 6 контракторов (A6 п.5)  рост по roadmap. FTE по годам: 5/8/12/15/18 × $66 000</t>
  </si>
  <si>
    <t xml:space="preserve">DevOps / SRE</t>
  </si>
  <si>
    <t xml:space="preserve">DevOps/SRE: 1 на запуске. FTE по годам: 1/2/3/3/4 × $78 000</t>
  </si>
  <si>
    <t xml:space="preserve">Поддержка и дежурства 24/7</t>
  </si>
  <si>
    <t xml:space="preserve">Дежурства: on-call ротация + L1 (без 24/7 SRE). FTE по годам: 0.5/1/2/2/3 × $48 000</t>
  </si>
  <si>
    <t xml:space="preserve">Архитектура и менеджмент</t>
  </si>
  <si>
    <t xml:space="preserve">CTO, архитектор, PM - одинаково для всех вариантов</t>
  </si>
  <si>
    <t xml:space="preserve">БЛОК 5. Разовые затраты и комплаенс</t>
  </si>
  <si>
    <t xml:space="preserve">Юридический и комплаенс-аудит (NDPR, POPIA, KICA)</t>
  </si>
  <si>
    <t xml:space="preserve">Аудит NDPR/POPIA/KDPA; далее ежегодный audit return NDPC (A3 п.1) (годы 2–5 перезаписаны вручную, как требует инструкция C25)</t>
  </si>
  <si>
    <t xml:space="preserve">Пентест и аудит безопасности</t>
  </si>
  <si>
    <t xml:space="preserve">Пентест ежегодно</t>
  </si>
  <si>
    <t xml:space="preserve">Миграция данных и интеграции при запуске</t>
  </si>
  <si>
    <t xml:space="preserve">Интеграции PSP/логистики, сертификация у провайдеров - разовая, годы 2–5 обнулены вручную</t>
  </si>
  <si>
    <t xml:space="preserve">Обучение команды и найм</t>
  </si>
  <si>
    <t xml:space="preserve">Онбординг контракторов; найм заморожен до декабря (A6 п.5)</t>
  </si>
  <si>
    <t xml:space="preserve">Резерв на непредвиденное (contingency)</t>
  </si>
  <si>
    <t xml:space="preserve">Расчёт: сумма блоков 1–5 × ставка резерва с листа «Допущения»</t>
  </si>
  <si>
    <t xml:space="preserve">ИТОГО прямые затраты (TCO без учёта простоев)</t>
  </si>
  <si>
    <t xml:space="preserve">БЛОК 6. Стоимость недоступности (риск)</t>
  </si>
  <si>
    <t xml:space="preserve">Ожидаемые потери из-за простоя при целевом SLO</t>
  </si>
  <si>
    <t xml:space="preserve">(1 − SLO) × 525 600 × стоимость минуты. Стоимость минуты = MIN($12k; GMV года / 525 600 × пиковость). Плоские $12k - лист «Сравнение»</t>
  </si>
  <si>
    <t xml:space="preserve">ИТОГО TCO с учётом стоимости простоя</t>
  </si>
  <si>
    <t xml:space="preserve">Коэффициент дисконтирования</t>
  </si>
  <si>
    <t xml:space="preserve">Дисконтированный TCO (NPV затрат)</t>
  </si>
  <si>
    <t xml:space="preserve">Ключевые метрики</t>
  </si>
  <si>
    <t xml:space="preserve">TCO за 5 лет, прямые затраты</t>
  </si>
  <si>
    <t xml:space="preserve">Основная цифра для сравнения вариантов в ADR</t>
  </si>
  <si>
    <t xml:space="preserve">TCO за 5 лет с учётом простоя</t>
  </si>
  <si>
    <t xml:space="preserve">Показывает цену недоступности для mission critical</t>
  </si>
  <si>
    <t xml:space="preserve">NPV затрат за 5 лет</t>
  </si>
  <si>
    <t xml:space="preserve">Затраты, приведённые к сегодняшнему дню</t>
  </si>
  <si>
    <t xml:space="preserve">Средние затраты в год</t>
  </si>
  <si>
    <t xml:space="preserve">Ориентир для планирования бюджета</t>
  </si>
  <si>
    <t xml:space="preserve">Облако + SaaS (блоки 1–2), $/мес в Год 1</t>
  </si>
  <si>
    <t xml:space="preserve">По определению CFO (A6 п.1) в лимит входят мониторинг и SaaS - поэтому блоки 1 и 2</t>
  </si>
  <si>
    <t xml:space="preserve">Проверка бюджета CFO на Год 1</t>
  </si>
  <si>
    <t xml:space="preserve">Сравнение с $5 000/мес (A6 п.1), а не с $9k из шаблона</t>
  </si>
  <si>
    <t xml:space="preserve">TCO на 1 заказ за 5 лет</t>
  </si>
  <si>
    <t xml:space="preserve">Юнит-экономика: сколько ИТ стоит в одном заказе</t>
  </si>
  <si>
    <t xml:space="preserve">TCO на 1 активного пользователя (Год 5)</t>
  </si>
  <si>
    <t xml:space="preserve">Проверка масштабируемости модели</t>
  </si>
  <si>
    <t xml:space="preserve">Затраты ИТ как доля GMV за 5 лет</t>
  </si>
  <si>
    <t xml:space="preserve">Здоровый маркетплейс - единицы процентов</t>
  </si>
  <si>
    <t xml:space="preserve">Доля облачной инфраструктуры в TCO</t>
  </si>
  <si>
    <t xml:space="preserve">Обычно меньше, чем ожидают студенты</t>
  </si>
  <si>
    <t xml:space="preserve">Доля транзакционных расходов в TCO</t>
  </si>
  <si>
    <t xml:space="preserve">Растёт быстрее всего вместе с GMV</t>
  </si>
  <si>
    <t xml:space="preserve">Доля команды (ФОТ) в TCO</t>
  </si>
  <si>
    <t xml:space="preserve">Как правило, крупнейшая статья</t>
  </si>
  <si>
    <t xml:space="preserve">Стоимость заказа на объёме запуска (Год 1), $</t>
  </si>
  <si>
    <t xml:space="preserve">Запрос CFO (A6): на объёмах запуска</t>
  </si>
  <si>
    <t xml:space="preserve">Стоимость заказа через 12 мес (Год 2), $</t>
  </si>
  <si>
    <t xml:space="preserve">Запрос CFO (A6): на объёмах через 12 месяцев</t>
  </si>
  <si>
    <t xml:space="preserve">ИТ-стоимость заказа без транзакционных (Год 1), $</t>
  </si>
  <si>
    <t xml:space="preserve">Только то, что зависит от архитектуры</t>
  </si>
  <si>
    <t xml:space="preserve">ИТ-стоимость заказа без транзакционных (Год 2), $</t>
  </si>
  <si>
    <t xml:space="preserve">Архитектурно-зависимые затраты за 5 лет (блоки 1,2,4,5 + резерв)</t>
  </si>
  <si>
    <t xml:space="preserve">Инструкция C24: сравнивать по блокам 1,2,4,6</t>
  </si>
  <si>
    <t xml:space="preserve">Вывод для ADR</t>
  </si>
  <si>
    <t xml:space="preserve">Самый дешёвый по архитектурно-зависимым затратам и единственный, укладывающийся в $5 000/мес и в 6 контракторов в Год 1. Платит меньшей доступностью (99,9%) и будущей стоимостью выделения сервисов при росте. Чувствительнее всего к числу заказов Г3–5 и к стоимости минуты простоя.</t>
  </si>
  <si>
    <t xml:space="preserve">Допущения модели TCO - вариант B: Сервисная архитектура (6 сервисов)</t>
  </si>
  <si>
    <t xml:space="preserve">Ссылка на «Допущения A» - единые драйверы для всех вариантов</t>
  </si>
  <si>
    <t xml:space="preserve">Warm standby</t>
  </si>
  <si>
    <t xml:space="preserve">TCO на 5 лет - вариант B: Сервисная архитектура (6 сервисов)</t>
  </si>
  <si>
    <t xml:space="preserve">6 сервисов × 2 страны, sidecar-оверхед, gateway. ~$2 000/мес</t>
  </si>
  <si>
    <t xml:space="preserve">Managed PostgreSQL на сервис (3 инстанса × 2 страны)</t>
  </si>
  <si>
    <t xml:space="preserve">Как в A</t>
  </si>
  <si>
    <t xml:space="preserve">Managed Kafka-совместимый брокер (2 кластера × ~$400/мес)</t>
  </si>
  <si>
    <t xml:space="preserve">Warm standby во втором ЦОДе страны, RTO ≤ 30 мин</t>
  </si>
  <si>
    <t xml:space="preserve">OSS-стек, но ×3 объём телеметрии (распределённые трассы)</t>
  </si>
  <si>
    <t xml:space="preserve">CI/CD на 6 пайплайнов</t>
  </si>
  <si>
    <t xml:space="preserve">Нужно 7 разработчиков на старте → +2 сверх заморозки (нарушает A6 п.5). FTE по годам: 7/10/14/17/20 × $66 000</t>
  </si>
  <si>
    <t xml:space="preserve">Брокер  gateway  6 пайплайнов. FTE по годам: 2/3/4/4/5 × $78 000</t>
  </si>
  <si>
    <t xml:space="preserve">Дежурства по сервисам. FTE по годам: 1/2/2/3/3 × $48 000</t>
  </si>
  <si>
    <t xml:space="preserve">Интеграции + контракты между сервисами - разовая, годы 2–5 обнулены вручную</t>
  </si>
  <si>
    <t xml:space="preserve">Найм 2 разработчиков + SRE</t>
  </si>
  <si>
    <t xml:space="preserve">Средний по стоимости: требует +2–3 человека сверх заморозки и превышает лимит облака уже в Год 1. Даёт 99,95% и независимые релизы 6 команд - оправдан с Года 2, когда команда &gt; 12 человек. Это целевое состояние эволюции A.</t>
  </si>
  <si>
    <t xml:space="preserve">Допущения модели TCO - вариант C: Микросервисы CTO (40-50 сервисов)</t>
  </si>
  <si>
    <t xml:space="preserve">Active-active, RPO=0 (A5)</t>
  </si>
  <si>
    <t xml:space="preserve">TCO на 5 лет - вариант C: Микросервисы CTO (40-50 сервисов)</t>
  </si>
  <si>
    <t xml:space="preserve">3 кластера (2 региона + on-prem NG), active-active, Istio-sidecar, ёмкость под 10M (A5). ~$8 000/мес</t>
  </si>
  <si>
    <t xml:space="preserve">Свои PostgreSQL-операторы + серверы под Oracle (no managed, A5)</t>
  </si>
  <si>
    <t xml:space="preserve">Хранилище ×3 кластера, реплики</t>
  </si>
  <si>
    <t xml:space="preserve">Self-hosted Kafka: 3 кластера × 3 брокера</t>
  </si>
  <si>
    <t xml:space="preserve">Active-active, межрегиональная репликация, RPO = 0 (A5)</t>
  </si>
  <si>
    <t xml:space="preserve">On-prem кластер NG (A5) - аренда стоек/железа</t>
  </si>
  <si>
    <t xml:space="preserve">OTel+Prometheus+Jaeger+Loki на 40–50 сервисов, хранение</t>
  </si>
  <si>
    <t xml:space="preserve">CI/CD на 40–50 сервисов, ArgoCD multi-cluster</t>
  </si>
  <si>
    <t xml:space="preserve">mTLS/PKI, WAF, секреты</t>
  </si>
  <si>
    <t xml:space="preserve">Прочее</t>
  </si>
  <si>
    <t xml:space="preserve">Лицензия Oracle Database</t>
  </si>
  <si>
    <t xml:space="preserve">Oracle SE2: 2 сокета × $17 500 + 22% поддержка/год (нижняя граница; EE ≈ ×10) (годы 2–5 перезаписаны вручную, как требует инструкция C25)</t>
  </si>
  <si>
    <t xml:space="preserve">40–50 сервисов + свой логистический движок (A5: 4 инж. × 6 мес) - найм 6+ сверх заморозки. FTE по годам: 12/16/20/24/26 × $66 000</t>
  </si>
  <si>
    <t xml:space="preserve">Platform team: Istio  Kafka  операторы БД  3 кластера. FTE по годам: 4/5/6/6/7 × $78 000</t>
  </si>
  <si>
    <t xml:space="preserve">24/7 дежурство под 99 99% (A5). FTE по годам: 2/3/4/4/5 × $48 000</t>
  </si>
  <si>
    <t xml:space="preserve">Oracle DBA</t>
  </si>
  <si>
    <t xml:space="preserve">Oracle DBA. FTE по годам: 1/1/1/1/1 × $90 000</t>
  </si>
  <si>
    <t xml:space="preserve">Прямые интеграции M-Pesa/Flutterwave + свой логистический движок - разовая, годы 2–5 обнулены вручную</t>
  </si>
  <si>
    <t xml:space="preserve">Найм 10+ человек, обучение Istio/Kafka</t>
  </si>
  <si>
    <t xml:space="preserve">Самый дорогой: облако в 4,7 раза выше лимита CFO, команда в 3 раза больше разрешённой, лицензия Oracle противоречит A6 п.7. Окупается только при стоимости простоя ~$12k/мин с первого дня, что соответствует GMV ×500 к плану Года 1. Не реализуем к 15.10 силами 6 контракторов.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</si>
</sst>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#,##0.00"/>
    <numFmt numFmtId="167" formatCode="0.00%"/>
    <numFmt numFmtId="168" formatCode="\$#,##0.00;&quot;($&quot;#,##0.00\);\-"/>
    <numFmt numFmtId="169" formatCode="\$#,##0;&quot;($&quot;#,##0\);\-"/>
    <numFmt numFmtId="170" formatCode="0.0%"/>
    <numFmt numFmtId="171" formatCode="0.000%"/>
    <numFmt numFmtId="172" formatCode="0"/>
    <numFmt numFmtId="173" formatCode="0.00"/>
    <numFmt numFmtId="174" formatCode="0.000"/>
  </numFmts>
  <fonts count="1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rgb="FF008000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DEDED"/>
      </patternFill>
    </fill>
    <fill>
      <patternFill patternType="solid">
        <fgColor rgb="FF1F3864"/>
        <bgColor rgb="FF333333"/>
      </patternFill>
    </fill>
    <fill>
      <patternFill patternType="solid">
        <fgColor rgb="FFFFFF99"/>
        <bgColor rgb="FFFCE4D6"/>
      </patternFill>
    </fill>
    <fill>
      <patternFill patternType="solid">
        <fgColor rgb="FFFCE4D6"/>
        <bgColor rgb="FFEDEDED"/>
      </patternFill>
    </fill>
    <fill>
      <patternFill patternType="solid">
        <fgColor rgb="FFEDEDED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8" fontId="1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2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5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4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1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000"/>
  <sheetViews>
    <sheetView showFormulas="false" showGridLines="fals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B28" activeCellId="0" sqref="B28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3" min="3" style="1" width="78"/>
    <col collapsed="false" customWidth="true" hidden="false" outlineLevel="0" max="26" min="4" style="1" width="8.71"/>
  </cols>
  <sheetData>
    <row r="2" customFormat="false" ht="17.35" hidden="false" customHeight="false" outlineLevel="0" collapsed="false">
      <c r="B2" s="2" t="s">
        <v>0</v>
      </c>
    </row>
    <row r="3" customFormat="false" ht="15" hidden="false" customHeight="false" outlineLevel="0" collapsed="false">
      <c r="B3" s="3"/>
      <c r="C3" s="4"/>
    </row>
    <row r="4" customFormat="false" ht="15" hidden="false" customHeight="false" outlineLevel="0" collapsed="false">
      <c r="B4" s="5" t="s">
        <v>1</v>
      </c>
      <c r="C4" s="6"/>
    </row>
    <row r="5" customFormat="false" ht="30" hidden="false" customHeight="true" outlineLevel="0" collapsed="false">
      <c r="B5" s="3" t="s">
        <v>2</v>
      </c>
      <c r="C5" s="4" t="s">
        <v>3</v>
      </c>
    </row>
    <row r="6" customFormat="false" ht="30" hidden="false" customHeight="true" outlineLevel="0" collapsed="false">
      <c r="B6" s="3" t="s">
        <v>4</v>
      </c>
      <c r="C6" s="4" t="s">
        <v>5</v>
      </c>
    </row>
    <row r="7" customFormat="false" ht="15" hidden="false" customHeight="false" outlineLevel="0" collapsed="false">
      <c r="B7" s="3"/>
      <c r="C7" s="4"/>
    </row>
    <row r="8" customFormat="false" ht="15" hidden="false" customHeight="false" outlineLevel="0" collapsed="false">
      <c r="B8" s="5" t="s">
        <v>6</v>
      </c>
      <c r="C8" s="6"/>
    </row>
    <row r="9" customFormat="false" ht="15" hidden="false" customHeight="false" outlineLevel="0" collapsed="false">
      <c r="B9" s="3" t="s">
        <v>7</v>
      </c>
      <c r="C9" s="4" t="s">
        <v>8</v>
      </c>
    </row>
    <row r="10" customFormat="false" ht="15" hidden="false" customHeight="false" outlineLevel="0" collapsed="false">
      <c r="B10" s="3" t="s">
        <v>9</v>
      </c>
      <c r="C10" s="4" t="s">
        <v>10</v>
      </c>
    </row>
    <row r="11" customFormat="false" ht="15" hidden="false" customHeight="false" outlineLevel="0" collapsed="false">
      <c r="B11" s="3" t="s">
        <v>11</v>
      </c>
      <c r="C11" s="4" t="s">
        <v>12</v>
      </c>
    </row>
    <row r="12" customFormat="false" ht="15" hidden="false" customHeight="false" outlineLevel="0" collapsed="false">
      <c r="B12" s="3"/>
      <c r="C12" s="4"/>
    </row>
    <row r="13" customFormat="false" ht="15" hidden="false" customHeight="false" outlineLevel="0" collapsed="false">
      <c r="B13" s="5" t="s">
        <v>13</v>
      </c>
      <c r="C13" s="6"/>
    </row>
    <row r="14" customFormat="false" ht="30" hidden="false" customHeight="true" outlineLevel="0" collapsed="false">
      <c r="B14" s="3" t="s">
        <v>14</v>
      </c>
      <c r="C14" s="4" t="s">
        <v>15</v>
      </c>
    </row>
    <row r="15" customFormat="false" ht="30" hidden="false" customHeight="true" outlineLevel="0" collapsed="false">
      <c r="B15" s="3" t="s">
        <v>16</v>
      </c>
      <c r="C15" s="4" t="s">
        <v>17</v>
      </c>
    </row>
    <row r="16" customFormat="false" ht="30" hidden="false" customHeight="true" outlineLevel="0" collapsed="false">
      <c r="B16" s="3" t="s">
        <v>18</v>
      </c>
      <c r="C16" s="4" t="s">
        <v>19</v>
      </c>
    </row>
    <row r="17" customFormat="false" ht="30" hidden="false" customHeight="true" outlineLevel="0" collapsed="false">
      <c r="B17" s="3" t="s">
        <v>20</v>
      </c>
      <c r="C17" s="4" t="s">
        <v>21</v>
      </c>
    </row>
    <row r="18" customFormat="false" ht="30" hidden="false" customHeight="true" outlineLevel="0" collapsed="false">
      <c r="B18" s="3" t="s">
        <v>22</v>
      </c>
      <c r="C18" s="4" t="s">
        <v>23</v>
      </c>
    </row>
    <row r="19" customFormat="false" ht="15" hidden="false" customHeight="false" outlineLevel="0" collapsed="false">
      <c r="B19" s="3"/>
      <c r="C19" s="4"/>
    </row>
    <row r="20" customFormat="false" ht="15" hidden="false" customHeight="false" outlineLevel="0" collapsed="false">
      <c r="B20" s="5" t="s">
        <v>24</v>
      </c>
      <c r="C20" s="6"/>
    </row>
    <row r="21" customFormat="false" ht="30" hidden="false" customHeight="true" outlineLevel="0" collapsed="false">
      <c r="B21" s="3" t="s">
        <v>25</v>
      </c>
      <c r="C21" s="4" t="s">
        <v>26</v>
      </c>
    </row>
    <row r="22" customFormat="false" ht="30" hidden="false" customHeight="true" outlineLevel="0" collapsed="false">
      <c r="B22" s="3" t="s">
        <v>27</v>
      </c>
      <c r="C22" s="4" t="s">
        <v>28</v>
      </c>
    </row>
    <row r="23" customFormat="false" ht="30" hidden="false" customHeight="true" outlineLevel="0" collapsed="false">
      <c r="B23" s="3" t="s">
        <v>29</v>
      </c>
      <c r="C23" s="4" t="s">
        <v>30</v>
      </c>
    </row>
    <row r="24" customFormat="false" ht="30" hidden="false" customHeight="true" outlineLevel="0" collapsed="false">
      <c r="B24" s="3" t="s">
        <v>31</v>
      </c>
      <c r="C24" s="4" t="s">
        <v>32</v>
      </c>
    </row>
    <row r="25" customFormat="false" ht="30" hidden="false" customHeight="true" outlineLevel="0" collapsed="false">
      <c r="B25" s="3" t="s">
        <v>33</v>
      </c>
      <c r="C25" s="4" t="s">
        <v>34</v>
      </c>
    </row>
    <row r="26" customFormat="false" ht="30" hidden="false" customHeight="true" outlineLevel="0" collapsed="false">
      <c r="B26" s="3" t="s">
        <v>35</v>
      </c>
      <c r="C26" s="4" t="s">
        <v>36</v>
      </c>
    </row>
    <row r="27" customFormat="false" ht="15.75" hidden="false" customHeight="true" outlineLevel="0" collapsed="false">
      <c r="B27" s="3"/>
      <c r="C27" s="4"/>
    </row>
    <row r="28" customFormat="false" ht="30" hidden="false" customHeight="true" outlineLevel="0" collapsed="false">
      <c r="B28" s="7"/>
      <c r="C28" s="7"/>
    </row>
    <row r="29" customFormat="false" ht="15.75" hidden="false" customHeight="true" outlineLevel="0" collapsed="false"/>
    <row r="30" customFormat="false" ht="15.75" hidden="false" customHeight="true" outlineLevel="0" collapsed="false">
      <c r="B30" s="8" t="s">
        <v>37</v>
      </c>
    </row>
    <row r="31" customFormat="false" ht="15.75" hidden="false" customHeight="true" outlineLevel="0" collapsed="false">
      <c r="B31" s="1" t="s">
        <v>38</v>
      </c>
      <c r="C31" s="9" t="s">
        <v>39</v>
      </c>
    </row>
    <row r="32" customFormat="false" ht="15.75" hidden="false" customHeight="true" outlineLevel="0" collapsed="false">
      <c r="B32" s="1" t="s">
        <v>40</v>
      </c>
      <c r="C32" s="9" t="s">
        <v>41</v>
      </c>
    </row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B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1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B2" activeCellId="0" sqref="B2"/>
    </sheetView>
  </sheetViews>
  <sheetFormatPr defaultColWidth="8.5390625" defaultRowHeight="15" customHeight="true" zeroHeight="false" outlineLevelRow="0" outlineLevelCol="0"/>
  <cols>
    <col collapsed="false" customWidth="true" hidden="false" outlineLevel="0" max="2" min="2" style="1" width="55"/>
    <col collapsed="false" customWidth="true" hidden="false" outlineLevel="0" max="5" min="3" style="1" width="22"/>
    <col collapsed="false" customWidth="true" hidden="false" outlineLevel="0" max="6" min="6" style="1" width="60"/>
  </cols>
  <sheetData>
    <row r="2" customFormat="false" ht="16.15" hidden="false" customHeight="false" outlineLevel="0" collapsed="false">
      <c r="B2" s="10" t="s">
        <v>42</v>
      </c>
    </row>
    <row r="4" customFormat="false" ht="15" hidden="false" customHeight="false" outlineLevel="0" collapsed="false">
      <c r="B4" s="11" t="s">
        <v>43</v>
      </c>
      <c r="C4" s="11" t="s">
        <v>44</v>
      </c>
      <c r="D4" s="11" t="s">
        <v>45</v>
      </c>
      <c r="E4" s="11" t="s">
        <v>46</v>
      </c>
      <c r="F4" s="11" t="s">
        <v>47</v>
      </c>
    </row>
    <row r="5" customFormat="false" ht="15" hidden="false" customHeight="false" outlineLevel="0" collapsed="false">
      <c r="B5" s="1" t="s">
        <v>48</v>
      </c>
      <c r="C5" s="12" t="n">
        <f aca="false">'TCO A'!E63</f>
        <v>4750</v>
      </c>
      <c r="D5" s="12" t="n">
        <f aca="false">'TCO B'!E63</f>
        <v>8650</v>
      </c>
      <c r="E5" s="12" t="n">
        <f aca="false">'TCO C'!E63</f>
        <v>23658.3333333333</v>
      </c>
      <c r="F5" s="1" t="s">
        <v>49</v>
      </c>
    </row>
    <row r="6" customFormat="false" ht="15" hidden="false" customHeight="false" outlineLevel="0" collapsed="false">
      <c r="B6" s="1" t="s">
        <v>50</v>
      </c>
      <c r="C6" s="1" t="str">
        <f aca="false">'TCO A'!E64</f>
        <v>В бюджете CFO</v>
      </c>
      <c r="D6" s="1" t="str">
        <f aca="false">'TCO B'!E64</f>
        <v>ПРЕВЫШЕНИЕ бюджета</v>
      </c>
      <c r="E6" s="1" t="str">
        <f aca="false">'TCO C'!E64</f>
        <v>ПРЕВЫШЕНИЕ бюджета</v>
      </c>
    </row>
    <row r="7" customFormat="false" ht="15" hidden="false" customHeight="false" outlineLevel="0" collapsed="false">
      <c r="B7" s="1" t="s">
        <v>51</v>
      </c>
      <c r="C7" s="12" t="n">
        <f aca="false">'TCO A'!J15+'TCO A'!J24</f>
        <v>1010431.81296625</v>
      </c>
      <c r="D7" s="12" t="n">
        <f aca="false">'TCO B'!J15+'TCO B'!J24</f>
        <v>1650122.30049545</v>
      </c>
      <c r="E7" s="12" t="n">
        <f aca="false">'TCO C'!J15+'TCO C'!J24</f>
        <v>4023033.22368148</v>
      </c>
    </row>
    <row r="8" customFormat="false" ht="15" hidden="false" customHeight="false" outlineLevel="0" collapsed="false">
      <c r="B8" s="1" t="s">
        <v>52</v>
      </c>
      <c r="C8" s="12" t="n">
        <f aca="false">'TCO A'!J40</f>
        <v>8625330.95424</v>
      </c>
      <c r="D8" s="12" t="n">
        <f aca="false">'TCO B'!J40</f>
        <v>10104625.44384</v>
      </c>
      <c r="E8" s="12" t="n">
        <f aca="false">'TCO C'!J40</f>
        <v>14650555.49952</v>
      </c>
      <c r="F8" s="1" t="s">
        <v>53</v>
      </c>
    </row>
    <row r="9" customFormat="false" ht="15" hidden="false" customHeight="false" outlineLevel="0" collapsed="false">
      <c r="B9" s="1" t="s">
        <v>54</v>
      </c>
      <c r="C9" s="12" t="n">
        <f aca="false">'TCO A'!J48</f>
        <v>236527.488</v>
      </c>
      <c r="D9" s="12" t="n">
        <f aca="false">'TCO B'!J48</f>
        <v>336820.1984</v>
      </c>
      <c r="E9" s="12" t="n">
        <f aca="false">'TCO C'!J48</f>
        <v>574169.856</v>
      </c>
    </row>
    <row r="10" customFormat="false" ht="15" hidden="false" customHeight="false" outlineLevel="0" collapsed="false">
      <c r="B10" s="1" t="s">
        <v>55</v>
      </c>
      <c r="C10" s="12" t="n">
        <f aca="false">'TCO A'!J32</f>
        <v>27332200</v>
      </c>
      <c r="D10" s="12" t="n">
        <f aca="false">'TCO B'!J32</f>
        <v>27332200</v>
      </c>
      <c r="E10" s="12" t="n">
        <f aca="false">'TCO C'!J32</f>
        <v>27332200</v>
      </c>
      <c r="F10" s="1" t="s">
        <v>56</v>
      </c>
    </row>
    <row r="11" customFormat="false" ht="15" hidden="false" customHeight="false" outlineLevel="0" collapsed="false">
      <c r="B11" s="1" t="s">
        <v>57</v>
      </c>
      <c r="C11" s="12" t="n">
        <f aca="false">'TCO A'!J51</f>
        <v>42785163.7934872</v>
      </c>
      <c r="D11" s="12" t="n">
        <f aca="false">'TCO B'!J51</f>
        <v>45337333.1341458</v>
      </c>
      <c r="E11" s="12" t="n">
        <f aca="false">'TCO C'!J51</f>
        <v>53566952.3660817</v>
      </c>
    </row>
    <row r="12" customFormat="false" ht="15" hidden="false" customHeight="false" outlineLevel="0" collapsed="false">
      <c r="B12" s="1" t="s">
        <v>58</v>
      </c>
      <c r="C12" s="12" t="n">
        <f aca="false">'TCO A'!E75</f>
        <v>11353133.7934872</v>
      </c>
      <c r="D12" s="12" t="n">
        <f aca="false">'TCO B'!E75</f>
        <v>13905303.1341458</v>
      </c>
      <c r="E12" s="12" t="n">
        <f aca="false">'TCO C'!E75</f>
        <v>22134922.3660817</v>
      </c>
      <c r="F12" s="1" t="s">
        <v>59</v>
      </c>
    </row>
    <row r="13" customFormat="false" ht="15" hidden="false" customHeight="false" outlineLevel="0" collapsed="false">
      <c r="B13" s="1" t="s">
        <v>60</v>
      </c>
      <c r="C13" s="12" t="n">
        <f aca="false">'TCO A'!J53</f>
        <v>4397000</v>
      </c>
      <c r="D13" s="12" t="n">
        <f aca="false">'TCO B'!J53</f>
        <v>2198499.99999976</v>
      </c>
      <c r="E13" s="12" t="n">
        <f aca="false">'TCO C'!J53</f>
        <v>439699.999999952</v>
      </c>
      <c r="F13" s="1" t="s">
        <v>61</v>
      </c>
    </row>
    <row r="14" customFormat="false" ht="15" hidden="false" customHeight="false" outlineLevel="0" collapsed="false">
      <c r="B14" s="1" t="s">
        <v>62</v>
      </c>
      <c r="C14" s="12" t="n">
        <f aca="false">'TCO A'!J54</f>
        <v>47182163.7934872</v>
      </c>
      <c r="D14" s="12" t="n">
        <f aca="false">'TCO B'!J54</f>
        <v>47535833.1341455</v>
      </c>
      <c r="E14" s="12" t="n">
        <f aca="false">'TCO C'!J54</f>
        <v>54006652.3660817</v>
      </c>
    </row>
    <row r="15" customFormat="false" ht="15" hidden="false" customHeight="false" outlineLevel="0" collapsed="false">
      <c r="B15" s="1" t="s">
        <v>63</v>
      </c>
      <c r="C15" s="12" t="n">
        <f aca="false">'TCO A'!J56</f>
        <v>27630566.0112532</v>
      </c>
      <c r="D15" s="12" t="n">
        <f aca="false">'TCO B'!J56</f>
        <v>28107425.9974562</v>
      </c>
      <c r="E15" s="12" t="n">
        <f aca="false">'TCO C'!J56</f>
        <v>32564740.2777987</v>
      </c>
      <c r="F15" s="1" t="s">
        <v>64</v>
      </c>
    </row>
    <row r="16" customFormat="false" ht="15" hidden="false" customHeight="false" outlineLevel="0" collapsed="false">
      <c r="B16" s="1" t="s">
        <v>65</v>
      </c>
      <c r="C16" s="13" t="n">
        <f aca="false">'TCO A'!E71</f>
        <v>2.27546666666667</v>
      </c>
      <c r="D16" s="13" t="n">
        <f aca="false">'TCO B'!E71</f>
        <v>2.852</v>
      </c>
      <c r="E16" s="13" t="n">
        <f aca="false">'TCO C'!E71</f>
        <v>4.489025</v>
      </c>
      <c r="F16" s="1" t="s">
        <v>66</v>
      </c>
    </row>
    <row r="17" customFormat="false" ht="15" hidden="false" customHeight="false" outlineLevel="0" collapsed="false">
      <c r="B17" s="1" t="s">
        <v>67</v>
      </c>
      <c r="C17" s="13" t="n">
        <f aca="false">'TCO A'!E72</f>
        <v>1.36365651980702</v>
      </c>
      <c r="D17" s="13" t="n">
        <f aca="false">'TCO B'!E72</f>
        <v>1.54996700546063</v>
      </c>
      <c r="E17" s="13" t="n">
        <f aca="false">'TCO C'!E72</f>
        <v>2.07313950818606</v>
      </c>
      <c r="F17" s="1" t="s">
        <v>68</v>
      </c>
    </row>
    <row r="18" customFormat="false" ht="15" hidden="false" customHeight="false" outlineLevel="0" collapsed="false">
      <c r="B18" s="1" t="s">
        <v>69</v>
      </c>
      <c r="C18" s="13" t="n">
        <f aca="false">'TCO A'!E73</f>
        <v>1.53141666666667</v>
      </c>
      <c r="D18" s="13" t="n">
        <f aca="false">'TCO B'!E73</f>
        <v>2.10795</v>
      </c>
      <c r="E18" s="13" t="n">
        <f aca="false">'TCO C'!E73</f>
        <v>3.744975</v>
      </c>
    </row>
    <row r="19" customFormat="false" ht="15" hidden="false" customHeight="false" outlineLevel="0" collapsed="false">
      <c r="B19" s="1" t="s">
        <v>70</v>
      </c>
      <c r="C19" s="13" t="n">
        <f aca="false">'TCO A'!E74</f>
        <v>0.593156519807019</v>
      </c>
      <c r="D19" s="13" t="n">
        <f aca="false">'TCO B'!E74</f>
        <v>0.779467005460632</v>
      </c>
      <c r="E19" s="13" t="n">
        <f aca="false">'TCO C'!E74</f>
        <v>1.30263950818606</v>
      </c>
    </row>
    <row r="20" customFormat="false" ht="15" hidden="false" customHeight="false" outlineLevel="0" collapsed="false">
      <c r="B20" s="1" t="s">
        <v>71</v>
      </c>
      <c r="C20" s="13" t="n">
        <f aca="false">'TCO A'!E65</f>
        <v>1.12592536298651</v>
      </c>
      <c r="D20" s="13" t="n">
        <f aca="false">'TCO B'!E65</f>
        <v>1.19308771405647</v>
      </c>
      <c r="E20" s="13" t="n">
        <f aca="false">'TCO C'!E65</f>
        <v>1.40965664121268</v>
      </c>
    </row>
    <row r="21" customFormat="false" ht="15" hidden="false" customHeight="false" outlineLevel="0" collapsed="false">
      <c r="B21" s="1" t="s">
        <v>72</v>
      </c>
      <c r="C21" s="14" t="n">
        <f aca="false">'TCO A'!E67</f>
        <v>0.0486526765902743</v>
      </c>
      <c r="D21" s="14" t="n">
        <f aca="false">'TCO B'!E67</f>
        <v>0.051554847775922</v>
      </c>
      <c r="E21" s="14" t="n">
        <f aca="false">'TCO C'!E67</f>
        <v>0.0609130684171955</v>
      </c>
    </row>
    <row r="22" customFormat="false" ht="15" hidden="false" customHeight="false" outlineLevel="0" collapsed="false">
      <c r="B22" s="1" t="s">
        <v>73</v>
      </c>
      <c r="C22" s="14" t="n">
        <f aca="false">'Допущения A'!C20</f>
        <v>0.999</v>
      </c>
      <c r="D22" s="14" t="n">
        <f aca="false">'Допущения B'!C20</f>
        <v>0.9995</v>
      </c>
      <c r="E22" s="14" t="n">
        <f aca="false">'Допущения C'!C20</f>
        <v>0.9999</v>
      </c>
    </row>
    <row r="23" customFormat="false" ht="15" hidden="false" customHeight="false" outlineLevel="0" collapsed="false">
      <c r="B23" s="1" t="s">
        <v>74</v>
      </c>
      <c r="C23" s="12" t="n">
        <f aca="false">(1-'Допущения A'!C20)*525600*12000*5</f>
        <v>31536000</v>
      </c>
      <c r="D23" s="12" t="n">
        <f aca="false">(1-'Допущения B'!C20)*525600*12000*5</f>
        <v>15767999.9999983</v>
      </c>
      <c r="E23" s="12" t="n">
        <f aca="false">(1-'Допущения C'!C20)*525600*12000*5</f>
        <v>3153599.99999965</v>
      </c>
      <c r="F23" s="1" t="s">
        <v>75</v>
      </c>
    </row>
    <row r="24" customFormat="false" ht="15" hidden="false" customHeight="false" outlineLevel="0" collapsed="false">
      <c r="B24" s="1" t="s">
        <v>76</v>
      </c>
      <c r="C24" s="12" t="n">
        <f aca="false">'TCO A'!J51+(1-'Допущения A'!C20)*525600*12000*5</f>
        <v>74321163.7934872</v>
      </c>
      <c r="D24" s="12" t="n">
        <f aca="false">'TCO B'!J51+(1-'Допущения B'!C20)*525600*12000*5</f>
        <v>61105333.134144</v>
      </c>
      <c r="E24" s="12" t="n">
        <f aca="false">'TCO C'!J51+(1-'Допущения C'!C20)*525600*12000*5</f>
        <v>56720552.3660814</v>
      </c>
    </row>
    <row r="26" customFormat="false" ht="15" hidden="false" customHeight="false" outlineLevel="0" collapsed="false">
      <c r="B26" s="15" t="s">
        <v>77</v>
      </c>
    </row>
    <row r="27" customFormat="false" ht="15" hidden="false" customHeight="false" outlineLevel="0" collapsed="false">
      <c r="B27" s="1" t="s">
        <v>78</v>
      </c>
      <c r="C27" s="12" t="n">
        <f aca="false">'TCO C'!F51-'TCO A'!F51</f>
        <v>1702759.17210969</v>
      </c>
    </row>
    <row r="28" customFormat="false" ht="15" hidden="false" customHeight="false" outlineLevel="0" collapsed="false">
      <c r="B28" s="1" t="s">
        <v>79</v>
      </c>
      <c r="C28" s="12" t="n">
        <f aca="false">('Допущения C'!C20-'Допущения A'!C20)*525600</f>
        <v>473.040000000006</v>
      </c>
    </row>
    <row r="29" customFormat="false" ht="15" hidden="false" customHeight="false" outlineLevel="0" collapsed="false">
      <c r="B29" s="1" t="s">
        <v>80</v>
      </c>
      <c r="C29" s="12" t="n">
        <f aca="false">C27/C28</f>
        <v>3599.60927640299</v>
      </c>
    </row>
    <row r="30" customFormat="false" ht="15" hidden="false" customHeight="false" outlineLevel="0" collapsed="false">
      <c r="B30" s="1" t="s">
        <v>81</v>
      </c>
      <c r="C30" s="12" t="n">
        <f aca="false">C29*525600/'Допущения A'!C22</f>
        <v>378390927.135482</v>
      </c>
    </row>
    <row r="31" customFormat="false" ht="15" hidden="false" customHeight="false" outlineLevel="0" collapsed="false">
      <c r="B31" s="1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5390625" defaultRowHeight="15" customHeight="true" zeroHeight="false" outlineLevelRow="0" outlineLevelCol="0"/>
  <cols>
    <col collapsed="false" customWidth="true" hidden="false" outlineLevel="0" max="2" min="2" style="1" width="95"/>
    <col collapsed="false" customWidth="true" hidden="false" outlineLevel="0" max="3" min="3" style="1" width="18"/>
  </cols>
  <sheetData>
    <row r="2" customFormat="false" ht="16.15" hidden="false" customHeight="false" outlineLevel="0" collapsed="false">
      <c r="B2" s="10" t="s">
        <v>83</v>
      </c>
    </row>
    <row r="4" customFormat="false" ht="15" hidden="false" customHeight="false" outlineLevel="0" collapsed="false">
      <c r="B4" s="8" t="s">
        <v>84</v>
      </c>
    </row>
    <row r="5" customFormat="false" ht="15" hidden="false" customHeight="false" outlineLevel="0" collapsed="false">
      <c r="B5" s="1" t="s">
        <v>85</v>
      </c>
      <c r="C5" s="16" t="n">
        <v>9</v>
      </c>
    </row>
    <row r="6" customFormat="false" ht="15" hidden="false" customHeight="false" outlineLevel="0" collapsed="false">
      <c r="B6" s="1" t="s">
        <v>86</v>
      </c>
      <c r="C6" s="12" t="n">
        <f aca="false">'TCO C'!E63</f>
        <v>23658.3333333333</v>
      </c>
    </row>
    <row r="7" customFormat="false" ht="15" hidden="false" customHeight="false" outlineLevel="0" collapsed="false">
      <c r="B7" s="1" t="s">
        <v>87</v>
      </c>
      <c r="C7" s="12" t="n">
        <f aca="false">'TCO A'!E63</f>
        <v>4750</v>
      </c>
    </row>
    <row r="8" customFormat="false" ht="15" hidden="false" customHeight="false" outlineLevel="0" collapsed="false">
      <c r="B8" s="1" t="s">
        <v>88</v>
      </c>
      <c r="C8" s="12" t="n">
        <f aca="false">(C6-C7)*C5</f>
        <v>170175</v>
      </c>
    </row>
    <row r="9" customFormat="false" ht="15" hidden="false" customHeight="false" outlineLevel="0" collapsed="false">
      <c r="B9" s="1" t="s">
        <v>89</v>
      </c>
      <c r="C9" s="12" t="n">
        <f aca="false">('TCO C'!E40-'TCO A'!E40)*C5/12</f>
        <v>643500</v>
      </c>
    </row>
    <row r="10" customFormat="false" ht="15" hidden="false" customHeight="false" outlineLevel="0" collapsed="false">
      <c r="B10" s="1" t="s">
        <v>90</v>
      </c>
      <c r="C10" s="12" t="n">
        <f aca="false">'TCO C'!E48-'TCO A'!E48</f>
        <v>70000</v>
      </c>
    </row>
    <row r="11" customFormat="false" ht="15" hidden="false" customHeight="false" outlineLevel="0" collapsed="false">
      <c r="B11" s="1" t="s">
        <v>91</v>
      </c>
      <c r="C11" s="17" t="n">
        <f aca="false">C8+C9+C10</f>
        <v>883675</v>
      </c>
    </row>
    <row r="12" customFormat="false" ht="15" hidden="false" customHeight="false" outlineLevel="0" collapsed="false">
      <c r="B12" s="1" t="s">
        <v>92</v>
      </c>
      <c r="C12" s="12" t="n">
        <f aca="false">5000*C5</f>
        <v>45000</v>
      </c>
    </row>
    <row r="13" customFormat="false" ht="15" hidden="false" customHeight="false" outlineLevel="0" collapsed="false">
      <c r="C13" s="12"/>
    </row>
    <row r="14" customFormat="false" ht="15" hidden="false" customHeight="false" outlineLevel="0" collapsed="false">
      <c r="B14" s="8" t="s">
        <v>93</v>
      </c>
      <c r="C14" s="12"/>
    </row>
    <row r="15" customFormat="false" ht="15" hidden="false" customHeight="false" outlineLevel="0" collapsed="false">
      <c r="B15" s="1" t="s">
        <v>94</v>
      </c>
      <c r="C15" s="16" t="n">
        <v>18</v>
      </c>
    </row>
    <row r="16" customFormat="false" ht="15" hidden="false" customHeight="false" outlineLevel="0" collapsed="false">
      <c r="B16" s="1" t="s">
        <v>95</v>
      </c>
      <c r="C16" s="12" t="n">
        <v>5500</v>
      </c>
    </row>
    <row r="17" customFormat="false" ht="15" hidden="false" customHeight="false" outlineLevel="0" collapsed="false">
      <c r="B17" s="1" t="s">
        <v>96</v>
      </c>
      <c r="C17" s="16" t="n">
        <v>8</v>
      </c>
    </row>
    <row r="18" customFormat="false" ht="15" hidden="false" customHeight="false" outlineLevel="0" collapsed="false">
      <c r="B18" s="1" t="s">
        <v>97</v>
      </c>
      <c r="C18" s="12" t="n">
        <v>39000</v>
      </c>
    </row>
    <row r="19" customFormat="false" ht="15" hidden="false" customHeight="false" outlineLevel="0" collapsed="false">
      <c r="B19" s="1" t="s">
        <v>98</v>
      </c>
      <c r="C19" s="17" t="n">
        <f aca="false">(C15+C17)*C16+C18</f>
        <v>182000</v>
      </c>
    </row>
    <row r="20" customFormat="false" ht="15" hidden="false" customHeight="false" outlineLevel="0" collapsed="false">
      <c r="B20" s="1" t="s">
        <v>99</v>
      </c>
    </row>
    <row r="22" customFormat="false" ht="15" hidden="false" customHeight="false" outlineLevel="0" collapsed="false">
      <c r="B22" s="15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000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B2" activeCellId="0" sqref="B2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7" min="3" style="1" width="15"/>
    <col collapsed="false" customWidth="true" hidden="false" outlineLevel="0" max="8" min="8" style="1" width="52"/>
    <col collapsed="false" customWidth="true" hidden="false" outlineLevel="0" max="26" min="9" style="1" width="8.71"/>
  </cols>
  <sheetData>
    <row r="2" customFormat="false" ht="17.35" hidden="false" customHeight="false" outlineLevel="0" collapsed="false">
      <c r="B2" s="2" t="s">
        <v>101</v>
      </c>
    </row>
    <row r="3" customFormat="false" ht="15" hidden="false" customHeight="false" outlineLevel="0" collapsed="false">
      <c r="B3" s="18" t="s">
        <v>102</v>
      </c>
    </row>
    <row r="5" customFormat="false" ht="15" hidden="false" customHeight="false" outlineLevel="0" collapsed="false">
      <c r="B5" s="19" t="s">
        <v>103</v>
      </c>
      <c r="C5" s="20"/>
      <c r="D5" s="20"/>
      <c r="E5" s="20"/>
      <c r="F5" s="20"/>
      <c r="G5" s="20"/>
      <c r="H5" s="20"/>
    </row>
    <row r="6" customFormat="false" ht="15" hidden="false" customHeight="false" outlineLevel="0" collapsed="false">
      <c r="B6" s="21" t="s">
        <v>104</v>
      </c>
      <c r="C6" s="21" t="s">
        <v>105</v>
      </c>
      <c r="D6" s="21" t="s">
        <v>106</v>
      </c>
      <c r="E6" s="21" t="s">
        <v>107</v>
      </c>
      <c r="F6" s="21" t="s">
        <v>108</v>
      </c>
      <c r="G6" s="21" t="s">
        <v>109</v>
      </c>
      <c r="H6" s="21" t="s">
        <v>110</v>
      </c>
    </row>
    <row r="7" customFormat="false" ht="22.35" hidden="false" customHeight="false" outlineLevel="0" collapsed="false">
      <c r="B7" s="22" t="s">
        <v>111</v>
      </c>
      <c r="C7" s="23" t="n">
        <v>400000</v>
      </c>
      <c r="D7" s="23" t="n">
        <v>1200000</v>
      </c>
      <c r="E7" s="23" t="n">
        <v>2500000</v>
      </c>
      <c r="F7" s="23" t="n">
        <v>4000000</v>
      </c>
      <c r="G7" s="23" t="n">
        <v>6000000</v>
      </c>
      <c r="H7" s="24" t="s">
        <v>112</v>
      </c>
    </row>
    <row r="8" customFormat="false" ht="15" hidden="false" customHeight="false" outlineLevel="0" collapsed="false">
      <c r="B8" s="22" t="s">
        <v>113</v>
      </c>
      <c r="C8" s="23" t="n">
        <v>600000</v>
      </c>
      <c r="D8" s="23" t="n">
        <v>2400000</v>
      </c>
      <c r="E8" s="23" t="n">
        <v>6000000</v>
      </c>
      <c r="F8" s="23" t="n">
        <v>11000000</v>
      </c>
      <c r="G8" s="23" t="n">
        <v>18000000</v>
      </c>
      <c r="H8" s="24" t="s">
        <v>114</v>
      </c>
    </row>
    <row r="9" customFormat="false" ht="15" hidden="false" customHeight="false" outlineLevel="0" collapsed="false">
      <c r="B9" s="22" t="s">
        <v>115</v>
      </c>
      <c r="C9" s="25" t="n">
        <v>20</v>
      </c>
      <c r="D9" s="25" t="n">
        <v>21</v>
      </c>
      <c r="E9" s="25" t="n">
        <v>22</v>
      </c>
      <c r="F9" s="25" t="n">
        <v>23</v>
      </c>
      <c r="G9" s="25" t="n">
        <v>24</v>
      </c>
      <c r="H9" s="24" t="s">
        <v>116</v>
      </c>
    </row>
    <row r="10" customFormat="false" ht="15" hidden="false" customHeight="false" outlineLevel="0" collapsed="false">
      <c r="B10" s="26" t="s">
        <v>117</v>
      </c>
      <c r="C10" s="27" t="n">
        <f aca="false">C8*C9</f>
        <v>12000000</v>
      </c>
      <c r="D10" s="27" t="n">
        <f aca="false">D8*D9</f>
        <v>50400000</v>
      </c>
      <c r="E10" s="27" t="n">
        <f aca="false">E8*E9</f>
        <v>132000000</v>
      </c>
      <c r="F10" s="27" t="n">
        <f aca="false">F8*F9</f>
        <v>253000000</v>
      </c>
      <c r="G10" s="27" t="n">
        <f aca="false">G8*G9</f>
        <v>432000000</v>
      </c>
      <c r="H10" s="24" t="s">
        <v>118</v>
      </c>
    </row>
    <row r="12" customFormat="false" ht="15" hidden="false" customHeight="false" outlineLevel="0" collapsed="false">
      <c r="B12" s="19" t="s">
        <v>119</v>
      </c>
      <c r="C12" s="20"/>
      <c r="D12" s="20"/>
      <c r="E12" s="20"/>
      <c r="F12" s="20"/>
      <c r="G12" s="20"/>
      <c r="H12" s="20"/>
    </row>
    <row r="13" customFormat="false" ht="15" hidden="false" customHeight="false" outlineLevel="0" collapsed="false">
      <c r="B13" s="21" t="s">
        <v>120</v>
      </c>
      <c r="C13" s="21" t="s">
        <v>121</v>
      </c>
      <c r="D13" s="21"/>
      <c r="E13" s="21"/>
      <c r="F13" s="21"/>
      <c r="G13" s="21"/>
      <c r="H13" s="21" t="s">
        <v>110</v>
      </c>
    </row>
    <row r="14" customFormat="false" ht="15" hidden="false" customHeight="false" outlineLevel="0" collapsed="false">
      <c r="B14" s="22" t="s">
        <v>122</v>
      </c>
      <c r="C14" s="28" t="n">
        <v>0.08</v>
      </c>
      <c r="H14" s="24" t="s">
        <v>123</v>
      </c>
    </row>
    <row r="15" customFormat="false" ht="15" hidden="false" customHeight="false" outlineLevel="0" collapsed="false">
      <c r="B15" s="22" t="s">
        <v>124</v>
      </c>
      <c r="C15" s="28" t="n">
        <v>0.12</v>
      </c>
      <c r="H15" s="24" t="s">
        <v>125</v>
      </c>
    </row>
    <row r="16" customFormat="false" ht="15" hidden="false" customHeight="false" outlineLevel="0" collapsed="false">
      <c r="B16" s="22" t="s">
        <v>126</v>
      </c>
      <c r="C16" s="28" t="n">
        <v>0.2</v>
      </c>
      <c r="H16" s="24" t="s">
        <v>127</v>
      </c>
    </row>
    <row r="17" customFormat="false" ht="15" hidden="false" customHeight="false" outlineLevel="0" collapsed="false">
      <c r="B17" s="22" t="s">
        <v>128</v>
      </c>
      <c r="C17" s="28" t="n">
        <v>0.15</v>
      </c>
      <c r="H17" s="24" t="s">
        <v>129</v>
      </c>
    </row>
    <row r="18" customFormat="false" ht="22.35" hidden="false" customHeight="false" outlineLevel="0" collapsed="false">
      <c r="B18" s="22" t="s">
        <v>130</v>
      </c>
      <c r="C18" s="29" t="n">
        <v>5000</v>
      </c>
      <c r="H18" s="24" t="s">
        <v>131</v>
      </c>
    </row>
    <row r="19" customFormat="false" ht="22.35" hidden="false" customHeight="false" outlineLevel="0" collapsed="false">
      <c r="B19" s="22" t="s">
        <v>132</v>
      </c>
      <c r="C19" s="29" t="n">
        <v>12000</v>
      </c>
      <c r="H19" s="24" t="s">
        <v>133</v>
      </c>
    </row>
    <row r="20" customFormat="false" ht="15" hidden="false" customHeight="false" outlineLevel="0" collapsed="false">
      <c r="B20" s="22" t="s">
        <v>134</v>
      </c>
      <c r="C20" s="30" t="n">
        <v>0.999</v>
      </c>
      <c r="H20" s="24" t="s">
        <v>135</v>
      </c>
    </row>
    <row r="21" customFormat="false" ht="15.75" hidden="false" customHeight="true" outlineLevel="0" collapsed="false">
      <c r="B21" s="22" t="s">
        <v>136</v>
      </c>
      <c r="C21" s="31" t="n">
        <v>1</v>
      </c>
      <c r="H21" s="24" t="s">
        <v>137</v>
      </c>
    </row>
    <row r="22" customFormat="false" ht="15.75" hidden="false" customHeight="true" outlineLevel="0" collapsed="false">
      <c r="B22" s="1" t="s">
        <v>138</v>
      </c>
      <c r="C22" s="32" t="n">
        <v>5</v>
      </c>
      <c r="H22" s="1" t="s">
        <v>139</v>
      </c>
    </row>
    <row r="23" customFormat="false" ht="15.75" hidden="false" customHeight="true" outlineLevel="0" collapsed="false">
      <c r="B23" s="19" t="s">
        <v>140</v>
      </c>
      <c r="C23" s="20"/>
      <c r="D23" s="20"/>
      <c r="E23" s="20"/>
      <c r="F23" s="20"/>
      <c r="G23" s="20"/>
      <c r="H23" s="20"/>
    </row>
    <row r="24" customFormat="false" ht="15.75" hidden="false" customHeight="true" outlineLevel="0" collapsed="false">
      <c r="B24" s="21" t="s">
        <v>141</v>
      </c>
      <c r="C24" s="21" t="s">
        <v>105</v>
      </c>
      <c r="D24" s="21" t="s">
        <v>106</v>
      </c>
      <c r="E24" s="21" t="s">
        <v>107</v>
      </c>
      <c r="F24" s="21" t="s">
        <v>108</v>
      </c>
      <c r="G24" s="21" t="s">
        <v>109</v>
      </c>
      <c r="H24" s="21" t="s">
        <v>142</v>
      </c>
    </row>
    <row r="25" customFormat="false" ht="15.75" hidden="false" customHeight="true" outlineLevel="0" collapsed="false">
      <c r="B25" s="22" t="s">
        <v>143</v>
      </c>
      <c r="C25" s="33" t="n">
        <v>1</v>
      </c>
      <c r="D25" s="33" t="n">
        <v>1</v>
      </c>
      <c r="E25" s="33" t="n">
        <v>1</v>
      </c>
      <c r="F25" s="33" t="n">
        <v>1</v>
      </c>
      <c r="G25" s="33" t="n">
        <v>1</v>
      </c>
      <c r="H25" s="24" t="s">
        <v>144</v>
      </c>
    </row>
    <row r="26" customFormat="false" ht="15.75" hidden="false" customHeight="true" outlineLevel="0" collapsed="false">
      <c r="B26" s="22" t="s">
        <v>145</v>
      </c>
      <c r="C26" s="33" t="n">
        <v>1</v>
      </c>
      <c r="D26" s="33" t="n">
        <f aca="false">C26*(1+$C$14)</f>
        <v>1.08</v>
      </c>
      <c r="E26" s="33" t="n">
        <f aca="false">D26*(1+$C$14)</f>
        <v>1.1664</v>
      </c>
      <c r="F26" s="33" t="n">
        <f aca="false">E26*(1+$C$14)</f>
        <v>1.259712</v>
      </c>
      <c r="G26" s="33" t="n">
        <f aca="false">F26*(1+$C$14)</f>
        <v>1.36048896</v>
      </c>
      <c r="H26" s="24" t="s">
        <v>146</v>
      </c>
    </row>
    <row r="27" customFormat="false" ht="15.75" hidden="false" customHeight="true" outlineLevel="0" collapsed="false">
      <c r="B27" s="22" t="s">
        <v>147</v>
      </c>
      <c r="C27" s="33" t="n">
        <v>1</v>
      </c>
      <c r="D27" s="33" t="n">
        <f aca="false">C27*(1+$C$15)</f>
        <v>1.12</v>
      </c>
      <c r="E27" s="33" t="n">
        <f aca="false">D27*(1+$C$15)</f>
        <v>1.2544</v>
      </c>
      <c r="F27" s="33" t="n">
        <f aca="false">E27*(1+$C$15)</f>
        <v>1.404928</v>
      </c>
      <c r="G27" s="33" t="n">
        <f aca="false">F27*(1+$C$15)</f>
        <v>1.57351936</v>
      </c>
      <c r="H27" s="24" t="s">
        <v>148</v>
      </c>
    </row>
    <row r="28" customFormat="false" ht="15.75" hidden="false" customHeight="true" outlineLevel="0" collapsed="false">
      <c r="B28" s="22" t="s">
        <v>149</v>
      </c>
      <c r="C28" s="33" t="n">
        <f aca="false">C7/$C$7</f>
        <v>1</v>
      </c>
      <c r="D28" s="33" t="n">
        <f aca="false">D7/$C$7</f>
        <v>3</v>
      </c>
      <c r="E28" s="33" t="n">
        <f aca="false">E7/$C$7</f>
        <v>6.25</v>
      </c>
      <c r="F28" s="33" t="n">
        <f aca="false">F7/$C$7</f>
        <v>10</v>
      </c>
      <c r="G28" s="33" t="n">
        <f aca="false">G7/$C$7</f>
        <v>15</v>
      </c>
      <c r="H28" s="24" t="s">
        <v>150</v>
      </c>
    </row>
    <row r="29" customFormat="false" ht="15.75" hidden="false" customHeight="true" outlineLevel="0" collapsed="false">
      <c r="B29" s="22" t="s">
        <v>151</v>
      </c>
      <c r="C29" s="33" t="n">
        <f aca="false">C8/$C$8</f>
        <v>1</v>
      </c>
      <c r="D29" s="33" t="n">
        <f aca="false">D8/$C$8</f>
        <v>4</v>
      </c>
      <c r="E29" s="33" t="n">
        <f aca="false">E8/$C$8</f>
        <v>10</v>
      </c>
      <c r="F29" s="33" t="n">
        <f aca="false">F8/$C$8</f>
        <v>18.3333333333333</v>
      </c>
      <c r="G29" s="33" t="n">
        <f aca="false">G8/$C$8</f>
        <v>30</v>
      </c>
      <c r="H29" s="24" t="s">
        <v>152</v>
      </c>
    </row>
    <row r="30" customFormat="false" ht="15.75" hidden="false" customHeight="true" outlineLevel="0" collapsed="false">
      <c r="B30" s="22" t="s">
        <v>153</v>
      </c>
      <c r="C30" s="33" t="n">
        <f aca="false">C10/$C$10</f>
        <v>1</v>
      </c>
      <c r="D30" s="33" t="n">
        <f aca="false">D10/$C$10</f>
        <v>4.2</v>
      </c>
      <c r="E30" s="33" t="n">
        <f aca="false">E10/$C$10</f>
        <v>11</v>
      </c>
      <c r="F30" s="33" t="n">
        <f aca="false">F10/$C$10</f>
        <v>21.0833333333333</v>
      </c>
      <c r="G30" s="33" t="n">
        <f aca="false">G10/$C$10</f>
        <v>36</v>
      </c>
      <c r="H30" s="24" t="s">
        <v>154</v>
      </c>
    </row>
    <row r="31" customFormat="false" ht="15.75" hidden="false" customHeight="true" outlineLevel="0" collapsed="false">
      <c r="B31" s="1" t="s">
        <v>155</v>
      </c>
      <c r="C31" s="1" t="n">
        <f aca="false">(C7/$C$7)^0.7</f>
        <v>1</v>
      </c>
      <c r="D31" s="1" t="n">
        <f aca="false">(D7/$C$7)^0.7</f>
        <v>2.15766927997459</v>
      </c>
      <c r="E31" s="1" t="n">
        <f aca="false">(E7/$C$7)^0.7</f>
        <v>3.60674976476803</v>
      </c>
      <c r="F31" s="1" t="n">
        <f aca="false">(F7/$C$7)^0.7</f>
        <v>5.01187233627272</v>
      </c>
      <c r="G31" s="1" t="n">
        <f aca="false">(G7/$C$7)^0.7</f>
        <v>6.65677505147513</v>
      </c>
      <c r="H31" s="1" t="s">
        <v>156</v>
      </c>
    </row>
    <row r="32" customFormat="false" ht="15" hidden="false" customHeight="true" outlineLevel="0" collapsed="false">
      <c r="B32" s="34" t="s">
        <v>157</v>
      </c>
      <c r="C32" s="34"/>
      <c r="D32" s="34"/>
      <c r="E32" s="34"/>
      <c r="F32" s="34"/>
      <c r="G32" s="34"/>
      <c r="H32" s="34"/>
    </row>
    <row r="33" customFormat="false" ht="15.75" hidden="false" customHeight="true" outlineLevel="0" collapsed="false">
      <c r="B33" s="34" t="s">
        <v>158</v>
      </c>
      <c r="C33" s="34"/>
      <c r="D33" s="34"/>
      <c r="E33" s="34"/>
      <c r="F33" s="34"/>
      <c r="G33" s="34"/>
      <c r="H33" s="34"/>
    </row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B32:H33"/>
  </mergeCells>
  <dataValidations count="1">
    <dataValidation allowBlank="false" errorStyle="stop" operator="between" showDropDown="false" showErrorMessage="false" showInputMessage="false" sqref="C21" type="list">
      <formula1>"0,1"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000"/>
  <sheetViews>
    <sheetView showFormulas="false" showGridLines="true" showRowColHeaders="true" showZeros="true" rightToLeft="false" tabSelected="false" showOutlineSymbols="true" defaultGridColor="true" view="normal" topLeftCell="A49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4"/>
    <col collapsed="false" customWidth="true" hidden="false" outlineLevel="0" max="3" min="3" style="1" width="16"/>
    <col collapsed="false" customWidth="true" hidden="false" outlineLevel="0" max="4" min="4" style="1" width="15"/>
    <col collapsed="false" customWidth="true" hidden="false" outlineLevel="0" max="10" min="5" style="1" width="14"/>
    <col collapsed="false" customWidth="true" hidden="false" outlineLevel="0" max="11" min="11" style="1" width="10"/>
    <col collapsed="false" customWidth="true" hidden="false" outlineLevel="0" max="12" min="12" style="1" width="46"/>
    <col collapsed="false" customWidth="true" hidden="false" outlineLevel="0" max="26" min="13" style="1" width="8.71"/>
  </cols>
  <sheetData>
    <row r="2" customFormat="false" ht="17.35" hidden="false" customHeight="false" outlineLevel="0" collapsed="false">
      <c r="B2" s="2" t="s">
        <v>159</v>
      </c>
    </row>
    <row r="3" customFormat="false" ht="15" hidden="false" customHeight="false" outlineLevel="0" collapsed="false">
      <c r="B3" s="18" t="s">
        <v>160</v>
      </c>
    </row>
    <row r="5" customFormat="false" ht="31.5" hidden="false" customHeight="true" outlineLevel="0" collapsed="false">
      <c r="B5" s="21" t="s">
        <v>161</v>
      </c>
      <c r="C5" s="21" t="s">
        <v>162</v>
      </c>
      <c r="D5" s="21" t="s">
        <v>163</v>
      </c>
      <c r="E5" s="21" t="s">
        <v>105</v>
      </c>
      <c r="F5" s="21" t="s">
        <v>106</v>
      </c>
      <c r="G5" s="21" t="s">
        <v>107</v>
      </c>
      <c r="H5" s="21" t="s">
        <v>108</v>
      </c>
      <c r="I5" s="21" t="s">
        <v>109</v>
      </c>
      <c r="J5" s="21" t="s">
        <v>164</v>
      </c>
      <c r="K5" s="21" t="s">
        <v>165</v>
      </c>
      <c r="L5" s="21" t="s">
        <v>110</v>
      </c>
    </row>
    <row r="6" customFormat="false" ht="15" hidden="false" customHeight="false" outlineLevel="0" collapsed="false">
      <c r="B6" s="19" t="s">
        <v>166</v>
      </c>
      <c r="C6" s="20"/>
      <c r="D6" s="20"/>
      <c r="E6" s="20"/>
      <c r="F6" s="20"/>
      <c r="G6" s="20"/>
      <c r="H6" s="20"/>
      <c r="I6" s="20"/>
      <c r="J6" s="20"/>
      <c r="K6" s="20"/>
      <c r="L6" s="20"/>
    </row>
    <row r="7" customFormat="false" ht="22.35" hidden="false" customHeight="false" outlineLevel="0" collapsed="false">
      <c r="B7" s="22" t="s">
        <v>167</v>
      </c>
      <c r="C7" s="35" t="s">
        <v>155</v>
      </c>
      <c r="D7" s="36" t="n">
        <v>14400</v>
      </c>
      <c r="E7" s="37" t="n">
        <f aca="false">IF($D7="","",$D7*INDEX('Допущения A'!$C$25:$G$31,MATCH($C7,'Допущения A'!$B$25:$B$31,0),1))</f>
        <v>14400</v>
      </c>
      <c r="F7" s="37" t="n">
        <f aca="false">IF($D7="","",$D7*INDEX('Допущения A'!$C$25:$G$31,MATCH($C7,'Допущения A'!$B$25:$B$31,0),2))</f>
        <v>31070.4376316341</v>
      </c>
      <c r="G7" s="37" t="n">
        <f aca="false">IF($D7="","",$D7*INDEX('Допущения A'!$C$25:$G$31,MATCH($C7,'Допущения A'!$B$25:$B$31,0),3))</f>
        <v>51937.1966126597</v>
      </c>
      <c r="H7" s="37" t="n">
        <f aca="false">IF($D7="","",$D7*INDEX('Допущения A'!$C$25:$G$31,MATCH($C7,'Допущения A'!$B$25:$B$31,0),4))</f>
        <v>72170.9616423272</v>
      </c>
      <c r="I7" s="37" t="n">
        <f aca="false">IF($D7="","",$D7*INDEX('Допущения A'!$C$25:$G$31,MATCH($C7,'Допущения A'!$B$25:$B$31,0),5))</f>
        <v>95857.5607412418</v>
      </c>
      <c r="J7" s="37" t="n">
        <f aca="false">SUM(E7:I7)</f>
        <v>265436.156627863</v>
      </c>
      <c r="K7" s="38"/>
      <c r="L7" s="39" t="s">
        <v>168</v>
      </c>
    </row>
    <row r="8" customFormat="false" ht="22.35" hidden="false" customHeight="false" outlineLevel="0" collapsed="false">
      <c r="B8" s="22" t="s">
        <v>169</v>
      </c>
      <c r="C8" s="35" t="s">
        <v>155</v>
      </c>
      <c r="D8" s="36" t="n">
        <v>9600</v>
      </c>
      <c r="E8" s="37" t="n">
        <f aca="false">IF($D8="","",$D8*INDEX('Допущения A'!$C$25:$G$31,MATCH($C8,'Допущения A'!$B$25:$B$31,0),1))</f>
        <v>9600</v>
      </c>
      <c r="F8" s="37" t="n">
        <f aca="false">IF($D8="","",$D8*INDEX('Допущения A'!$C$25:$G$31,MATCH($C8,'Допущения A'!$B$25:$B$31,0),2))</f>
        <v>20713.6250877561</v>
      </c>
      <c r="G8" s="37" t="n">
        <f aca="false">IF($D8="","",$D8*INDEX('Допущения A'!$C$25:$G$31,MATCH($C8,'Допущения A'!$B$25:$B$31,0),3))</f>
        <v>34624.7977417731</v>
      </c>
      <c r="H8" s="37" t="n">
        <f aca="false">IF($D8="","",$D8*INDEX('Допущения A'!$C$25:$G$31,MATCH($C8,'Допущения A'!$B$25:$B$31,0),4))</f>
        <v>48113.9744282181</v>
      </c>
      <c r="I8" s="37" t="n">
        <f aca="false">IF($D8="","",$D8*INDEX('Допущения A'!$C$25:$G$31,MATCH($C8,'Допущения A'!$B$25:$B$31,0),5))</f>
        <v>63905.0404941612</v>
      </c>
      <c r="J8" s="37" t="n">
        <f aca="false">SUM(E8:I8)</f>
        <v>176957.437751909</v>
      </c>
      <c r="K8" s="38"/>
      <c r="L8" s="39" t="s">
        <v>170</v>
      </c>
    </row>
    <row r="9" customFormat="false" ht="15" hidden="false" customHeight="false" outlineLevel="0" collapsed="false">
      <c r="B9" s="22" t="s">
        <v>171</v>
      </c>
      <c r="C9" s="35" t="s">
        <v>149</v>
      </c>
      <c r="D9" s="36" t="n">
        <v>2400</v>
      </c>
      <c r="E9" s="37" t="n">
        <f aca="false">IF($D9="","",$D9*INDEX('Допущения A'!$C$25:$G$31,MATCH($C9,'Допущения A'!$B$25:$B$31,0),1))</f>
        <v>2400</v>
      </c>
      <c r="F9" s="37" t="n">
        <f aca="false">IF($D9="","",$D9*INDEX('Допущения A'!$C$25:$G$31,MATCH($C9,'Допущения A'!$B$25:$B$31,0),2))</f>
        <v>7200</v>
      </c>
      <c r="G9" s="37" t="n">
        <f aca="false">IF($D9="","",$D9*INDEX('Допущения A'!$C$25:$G$31,MATCH($C9,'Допущения A'!$B$25:$B$31,0),3))</f>
        <v>15000</v>
      </c>
      <c r="H9" s="37" t="n">
        <f aca="false">IF($D9="","",$D9*INDEX('Допущения A'!$C$25:$G$31,MATCH($C9,'Допущения A'!$B$25:$B$31,0),4))</f>
        <v>24000</v>
      </c>
      <c r="I9" s="37" t="n">
        <f aca="false">IF($D9="","",$D9*INDEX('Допущения A'!$C$25:$G$31,MATCH($C9,'Допущения A'!$B$25:$B$31,0),5))</f>
        <v>36000</v>
      </c>
      <c r="J9" s="37" t="n">
        <f aca="false">SUM(E9:I9)</f>
        <v>84600</v>
      </c>
      <c r="K9" s="38"/>
      <c r="L9" s="39" t="s">
        <v>172</v>
      </c>
    </row>
    <row r="10" customFormat="false" ht="15" hidden="false" customHeight="false" outlineLevel="0" collapsed="false">
      <c r="B10" s="22" t="s">
        <v>173</v>
      </c>
      <c r="C10" s="35" t="s">
        <v>149</v>
      </c>
      <c r="D10" s="36" t="n">
        <v>6000</v>
      </c>
      <c r="E10" s="37" t="n">
        <f aca="false">IF($D10="","",$D10*INDEX('Допущения A'!$C$25:$G$31,MATCH($C10,'Допущения A'!$B$25:$B$31,0),1))</f>
        <v>6000</v>
      </c>
      <c r="F10" s="37" t="n">
        <f aca="false">IF($D10="","",$D10*INDEX('Допущения A'!$C$25:$G$31,MATCH($C10,'Допущения A'!$B$25:$B$31,0),2))</f>
        <v>18000</v>
      </c>
      <c r="G10" s="37" t="n">
        <f aca="false">IF($D10="","",$D10*INDEX('Допущения A'!$C$25:$G$31,MATCH($C10,'Допущения A'!$B$25:$B$31,0),3))</f>
        <v>37500</v>
      </c>
      <c r="H10" s="37" t="n">
        <f aca="false">IF($D10="","",$D10*INDEX('Допущения A'!$C$25:$G$31,MATCH($C10,'Допущения A'!$B$25:$B$31,0),4))</f>
        <v>60000</v>
      </c>
      <c r="I10" s="37" t="n">
        <f aca="false">IF($D10="","",$D10*INDEX('Допущения A'!$C$25:$G$31,MATCH($C10,'Допущения A'!$B$25:$B$31,0),5))</f>
        <v>90000</v>
      </c>
      <c r="J10" s="37" t="n">
        <f aca="false">SUM(E10:I10)</f>
        <v>211500</v>
      </c>
      <c r="K10" s="38"/>
      <c r="L10" s="39" t="s">
        <v>174</v>
      </c>
    </row>
    <row r="11" customFormat="false" ht="22.35" hidden="false" customHeight="false" outlineLevel="0" collapsed="false">
      <c r="B11" s="22" t="s">
        <v>175</v>
      </c>
      <c r="C11" s="35" t="s">
        <v>151</v>
      </c>
      <c r="D11" s="36" t="n">
        <v>600</v>
      </c>
      <c r="E11" s="37" t="n">
        <f aca="false">IF($D11="","",$D11*INDEX('Допущения A'!$C$25:$G$31,MATCH($C11,'Допущения A'!$B$25:$B$31,0),1))</f>
        <v>600</v>
      </c>
      <c r="F11" s="37" t="n">
        <f aca="false">IF($D11="","",$D11*INDEX('Допущения A'!$C$25:$G$31,MATCH($C11,'Допущения A'!$B$25:$B$31,0),2))</f>
        <v>2400</v>
      </c>
      <c r="G11" s="37" t="n">
        <f aca="false">IF($D11="","",$D11*INDEX('Допущения A'!$C$25:$G$31,MATCH($C11,'Допущения A'!$B$25:$B$31,0),3))</f>
        <v>6000</v>
      </c>
      <c r="H11" s="37" t="n">
        <f aca="false">IF($D11="","",$D11*INDEX('Допущения A'!$C$25:$G$31,MATCH($C11,'Допущения A'!$B$25:$B$31,0),4))</f>
        <v>11000</v>
      </c>
      <c r="I11" s="37" t="n">
        <f aca="false">IF($D11="","",$D11*INDEX('Допущения A'!$C$25:$G$31,MATCH($C11,'Допущения A'!$B$25:$B$31,0),5))</f>
        <v>18000</v>
      </c>
      <c r="J11" s="37" t="n">
        <f aca="false">SUM(E11:I11)</f>
        <v>38000</v>
      </c>
      <c r="K11" s="38"/>
      <c r="L11" s="39" t="s">
        <v>176</v>
      </c>
    </row>
    <row r="12" customFormat="false" ht="15" hidden="false" customHeight="false" outlineLevel="0" collapsed="false">
      <c r="B12" s="22" t="s">
        <v>177</v>
      </c>
      <c r="C12" s="35" t="s">
        <v>145</v>
      </c>
      <c r="D12" s="36" t="n">
        <v>3600</v>
      </c>
      <c r="E12" s="37" t="n">
        <f aca="false">IF($D12="","",$D12*INDEX('Допущения A'!$C$25:$G$31,MATCH($C12,'Допущения A'!$B$25:$B$31,0),1))</f>
        <v>3600</v>
      </c>
      <c r="F12" s="37" t="n">
        <f aca="false">IF($D12="","",$D12*INDEX('Допущения A'!$C$25:$G$31,MATCH($C12,'Допущения A'!$B$25:$B$31,0),2))</f>
        <v>3888</v>
      </c>
      <c r="G12" s="37" t="n">
        <f aca="false">IF($D12="","",$D12*INDEX('Допущения A'!$C$25:$G$31,MATCH($C12,'Допущения A'!$B$25:$B$31,0),3))</f>
        <v>4199.04</v>
      </c>
      <c r="H12" s="37" t="n">
        <f aca="false">IF($D12="","",$D12*INDEX('Допущения A'!$C$25:$G$31,MATCH($C12,'Допущения A'!$B$25:$B$31,0),4))</f>
        <v>4534.9632</v>
      </c>
      <c r="I12" s="37" t="n">
        <f aca="false">IF($D12="","",$D12*INDEX('Допущения A'!$C$25:$G$31,MATCH($C12,'Допущения A'!$B$25:$B$31,0),5))</f>
        <v>4897.760256</v>
      </c>
      <c r="J12" s="37" t="n">
        <f aca="false">SUM(E12:I12)</f>
        <v>21119.763456</v>
      </c>
      <c r="K12" s="38"/>
      <c r="L12" s="39" t="s">
        <v>178</v>
      </c>
    </row>
    <row r="13" customFormat="false" ht="15" hidden="false" customHeight="false" outlineLevel="0" collapsed="false">
      <c r="B13" s="22" t="s">
        <v>179</v>
      </c>
      <c r="C13" s="35" t="s">
        <v>145</v>
      </c>
      <c r="D13" s="36" t="n">
        <v>12000</v>
      </c>
      <c r="E13" s="37" t="n">
        <f aca="false">IF($D13="","",$D13*INDEX('Допущения A'!$C$25:$G$31,MATCH($C13,'Допущения A'!$B$25:$B$31,0),1))</f>
        <v>12000</v>
      </c>
      <c r="F13" s="37" t="n">
        <f aca="false">IF($D13="","",$D13*INDEX('Допущения A'!$C$25:$G$31,MATCH($C13,'Допущения A'!$B$25:$B$31,0),2))</f>
        <v>12960</v>
      </c>
      <c r="G13" s="37" t="n">
        <f aca="false">IF($D13="","",$D13*INDEX('Допущения A'!$C$25:$G$31,MATCH($C13,'Допущения A'!$B$25:$B$31,0),3))</f>
        <v>13996.8</v>
      </c>
      <c r="H13" s="37" t="n">
        <f aca="false">IF($D13="","",$D13*INDEX('Допущения A'!$C$25:$G$31,MATCH($C13,'Допущения A'!$B$25:$B$31,0),4))</f>
        <v>15116.544</v>
      </c>
      <c r="I13" s="37" t="n">
        <f aca="false">IF($D13="","",$D13*INDEX('Допущения A'!$C$25:$G$31,MATCH($C13,'Допущения A'!$B$25:$B$31,0),5))</f>
        <v>16325.86752</v>
      </c>
      <c r="J13" s="37" t="n">
        <f aca="false">SUM(E13:I13)</f>
        <v>70399.21152</v>
      </c>
      <c r="K13" s="38"/>
      <c r="L13" s="39" t="s">
        <v>180</v>
      </c>
    </row>
    <row r="14" customFormat="false" ht="15" hidden="false" customHeight="false" outlineLevel="0" collapsed="false">
      <c r="B14" s="22"/>
      <c r="C14" s="40" t="s">
        <v>143</v>
      </c>
      <c r="D14" s="29"/>
      <c r="E14" s="37" t="str">
        <f aca="false">IF($D14="","",$D14*INDEX('Допущения A'!$C$25:$G$31,MATCH($C14,'Допущения A'!$B$25:$B$31,0),1))</f>
        <v/>
      </c>
      <c r="F14" s="37" t="str">
        <f aca="false">IF($D14="","",$D14*INDEX('Допущения A'!$C$25:$G$31,MATCH($C14,'Допущения A'!$B$25:$B$31,0),2))</f>
        <v/>
      </c>
      <c r="G14" s="37" t="str">
        <f aca="false">IF($D14="","",$D14*INDEX('Допущения A'!$C$25:$G$31,MATCH($C14,'Допущения A'!$B$25:$B$31,0),3))</f>
        <v/>
      </c>
      <c r="H14" s="37" t="str">
        <f aca="false">IF($D14="","",$D14*INDEX('Допущения A'!$C$25:$G$31,MATCH($C14,'Допущения A'!$B$25:$B$31,0),4))</f>
        <v/>
      </c>
      <c r="I14" s="37" t="str">
        <f aca="false">IF($D14="","",$D14*INDEX('Допущения A'!$C$25:$G$31,MATCH($C14,'Допущения A'!$B$25:$B$31,0),5))</f>
        <v/>
      </c>
      <c r="J14" s="37" t="n">
        <f aca="false">SUM(E14:I14)</f>
        <v>0</v>
      </c>
      <c r="K14" s="38"/>
      <c r="L14" s="39" t="s">
        <v>181</v>
      </c>
    </row>
    <row r="15" customFormat="false" ht="15" hidden="false" customHeight="false" outlineLevel="0" collapsed="false">
      <c r="B15" s="41" t="s">
        <v>182</v>
      </c>
      <c r="C15" s="42"/>
      <c r="D15" s="42"/>
      <c r="E15" s="43" t="n">
        <f aca="false">SUM(E7:E14)</f>
        <v>48600</v>
      </c>
      <c r="F15" s="43" t="n">
        <f aca="false">SUM(F7:F14)</f>
        <v>96232.0627193902</v>
      </c>
      <c r="G15" s="43" t="n">
        <f aca="false">SUM(G7:G14)</f>
        <v>163257.834354433</v>
      </c>
      <c r="H15" s="43" t="n">
        <f aca="false">SUM(H7:H14)</f>
        <v>234936.443270545</v>
      </c>
      <c r="I15" s="43" t="n">
        <f aca="false">SUM(I7:I14)</f>
        <v>324986.229011403</v>
      </c>
      <c r="J15" s="43" t="n">
        <f aca="false">SUM(J7:J14)</f>
        <v>868012.569355771</v>
      </c>
      <c r="K15" s="44" t="n">
        <f aca="false">IFERROR(J15/$J$51,0)</f>
        <v>0.0202877000435347</v>
      </c>
      <c r="L15" s="42"/>
    </row>
    <row r="16" customFormat="false" ht="15" hidden="false" customHeight="false" outlineLevel="0" collapsed="false">
      <c r="C16" s="45"/>
    </row>
    <row r="17" customFormat="false" ht="15" hidden="false" customHeight="false" outlineLevel="0" collapsed="false">
      <c r="B17" s="19" t="s">
        <v>183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</row>
    <row r="18" customFormat="false" ht="22.35" hidden="false" customHeight="false" outlineLevel="0" collapsed="false">
      <c r="B18" s="22" t="s">
        <v>184</v>
      </c>
      <c r="C18" s="35" t="s">
        <v>155</v>
      </c>
      <c r="D18" s="36" t="n">
        <v>1800</v>
      </c>
      <c r="E18" s="37" t="n">
        <f aca="false">IF($D18="","",$D18*INDEX('Допущения A'!$C$25:$G$31,MATCH($C18,'Допущения A'!$B$25:$B$31,0),1))</f>
        <v>1800</v>
      </c>
      <c r="F18" s="37" t="n">
        <f aca="false">IF($D18="","",$D18*INDEX('Допущения A'!$C$25:$G$31,MATCH($C18,'Допущения A'!$B$25:$B$31,0),2))</f>
        <v>3883.80470395427</v>
      </c>
      <c r="G18" s="37" t="n">
        <f aca="false">IF($D18="","",$D18*INDEX('Допущения A'!$C$25:$G$31,MATCH($C18,'Допущения A'!$B$25:$B$31,0),3))</f>
        <v>6492.14957658246</v>
      </c>
      <c r="H18" s="37" t="n">
        <f aca="false">IF($D18="","",$D18*INDEX('Допущения A'!$C$25:$G$31,MATCH($C18,'Допущения A'!$B$25:$B$31,0),4))</f>
        <v>9021.3702052909</v>
      </c>
      <c r="I18" s="37" t="n">
        <f aca="false">IF($D18="","",$D18*INDEX('Допущения A'!$C$25:$G$31,MATCH($C18,'Допущения A'!$B$25:$B$31,0),5))</f>
        <v>11982.1950926552</v>
      </c>
      <c r="J18" s="37" t="n">
        <f aca="false">SUM(E18:I18)</f>
        <v>33179.5195784829</v>
      </c>
      <c r="K18" s="38"/>
      <c r="L18" s="39" t="s">
        <v>185</v>
      </c>
    </row>
    <row r="19" customFormat="false" ht="15" hidden="false" customHeight="false" outlineLevel="0" collapsed="false">
      <c r="B19" s="22" t="s">
        <v>186</v>
      </c>
      <c r="C19" s="35" t="s">
        <v>145</v>
      </c>
      <c r="D19" s="36" t="n">
        <v>1800</v>
      </c>
      <c r="E19" s="37" t="n">
        <f aca="false">IF($D19="","",$D19*INDEX('Допущения A'!$C$25:$G$31,MATCH($C19,'Допущения A'!$B$25:$B$31,0),1))</f>
        <v>1800</v>
      </c>
      <c r="F19" s="37" t="n">
        <f aca="false">IF($D19="","",$D19*INDEX('Допущения A'!$C$25:$G$31,MATCH($C19,'Допущения A'!$B$25:$B$31,0),2))</f>
        <v>1944</v>
      </c>
      <c r="G19" s="37" t="n">
        <f aca="false">IF($D19="","",$D19*INDEX('Допущения A'!$C$25:$G$31,MATCH($C19,'Допущения A'!$B$25:$B$31,0),3))</f>
        <v>2099.52</v>
      </c>
      <c r="H19" s="37" t="n">
        <f aca="false">IF($D19="","",$D19*INDEX('Допущения A'!$C$25:$G$31,MATCH($C19,'Допущения A'!$B$25:$B$31,0),4))</f>
        <v>2267.4816</v>
      </c>
      <c r="I19" s="37" t="n">
        <f aca="false">IF($D19="","",$D19*INDEX('Допущения A'!$C$25:$G$31,MATCH($C19,'Допущения A'!$B$25:$B$31,0),5))</f>
        <v>2448.880128</v>
      </c>
      <c r="J19" s="37" t="n">
        <f aca="false">SUM(E19:I19)</f>
        <v>10559.881728</v>
      </c>
      <c r="K19" s="38"/>
      <c r="L19" s="39" t="s">
        <v>187</v>
      </c>
    </row>
    <row r="20" customFormat="false" ht="15" hidden="false" customHeight="false" outlineLevel="0" collapsed="false">
      <c r="B20" s="22" t="s">
        <v>188</v>
      </c>
      <c r="C20" s="35" t="s">
        <v>149</v>
      </c>
      <c r="D20" s="36" t="n">
        <v>2400</v>
      </c>
      <c r="E20" s="37" t="n">
        <f aca="false">IF($D20="","",$D20*INDEX('Допущения A'!$C$25:$G$31,MATCH($C20,'Допущения A'!$B$25:$B$31,0),1))</f>
        <v>2400</v>
      </c>
      <c r="F20" s="37" t="n">
        <f aca="false">IF($D20="","",$D20*INDEX('Допущения A'!$C$25:$G$31,MATCH($C20,'Допущения A'!$B$25:$B$31,0),2))</f>
        <v>7200</v>
      </c>
      <c r="G20" s="37" t="n">
        <f aca="false">IF($D20="","",$D20*INDEX('Допущения A'!$C$25:$G$31,MATCH($C20,'Допущения A'!$B$25:$B$31,0),3))</f>
        <v>15000</v>
      </c>
      <c r="H20" s="37" t="n">
        <f aca="false">IF($D20="","",$D20*INDEX('Допущения A'!$C$25:$G$31,MATCH($C20,'Допущения A'!$B$25:$B$31,0),4))</f>
        <v>24000</v>
      </c>
      <c r="I20" s="37" t="n">
        <f aca="false">IF($D20="","",$D20*INDEX('Допущения A'!$C$25:$G$31,MATCH($C20,'Допущения A'!$B$25:$B$31,0),5))</f>
        <v>36000</v>
      </c>
      <c r="J20" s="37" t="n">
        <f aca="false">SUM(E20:I20)</f>
        <v>84600</v>
      </c>
      <c r="K20" s="38"/>
      <c r="L20" s="39" t="s">
        <v>189</v>
      </c>
    </row>
    <row r="21" customFormat="false" ht="15.75" hidden="false" customHeight="true" outlineLevel="0" collapsed="false">
      <c r="B21" s="22" t="s">
        <v>190</v>
      </c>
      <c r="C21" s="35" t="s">
        <v>145</v>
      </c>
      <c r="D21" s="36" t="n">
        <v>1200</v>
      </c>
      <c r="E21" s="37" t="n">
        <f aca="false">IF($D21="","",$D21*INDEX('Допущения A'!$C$25:$G$31,MATCH($C21,'Допущения A'!$B$25:$B$31,0),1))</f>
        <v>1200</v>
      </c>
      <c r="F21" s="37" t="n">
        <f aca="false">IF($D21="","",$D21*INDEX('Допущения A'!$C$25:$G$31,MATCH($C21,'Допущения A'!$B$25:$B$31,0),2))</f>
        <v>1296</v>
      </c>
      <c r="G21" s="37" t="n">
        <f aca="false">IF($D21="","",$D21*INDEX('Допущения A'!$C$25:$G$31,MATCH($C21,'Допущения A'!$B$25:$B$31,0),3))</f>
        <v>1399.68</v>
      </c>
      <c r="H21" s="37" t="n">
        <f aca="false">IF($D21="","",$D21*INDEX('Допущения A'!$C$25:$G$31,MATCH($C21,'Допущения A'!$B$25:$B$31,0),4))</f>
        <v>1511.6544</v>
      </c>
      <c r="I21" s="37" t="n">
        <f aca="false">IF($D21="","",$D21*INDEX('Допущения A'!$C$25:$G$31,MATCH($C21,'Допущения A'!$B$25:$B$31,0),5))</f>
        <v>1632.586752</v>
      </c>
      <c r="J21" s="37" t="n">
        <f aca="false">SUM(E21:I21)</f>
        <v>7039.921152</v>
      </c>
      <c r="K21" s="38"/>
      <c r="L21" s="39" t="s">
        <v>191</v>
      </c>
    </row>
    <row r="22" customFormat="false" ht="15.75" hidden="false" customHeight="true" outlineLevel="0" collapsed="false">
      <c r="B22" s="22" t="s">
        <v>192</v>
      </c>
      <c r="C22" s="35" t="s">
        <v>145</v>
      </c>
      <c r="D22" s="36" t="n">
        <v>1200</v>
      </c>
      <c r="E22" s="37" t="n">
        <f aca="false">IF($D22="","",$D22*INDEX('Допущения A'!$C$25:$G$31,MATCH($C22,'Допущения A'!$B$25:$B$31,0),1))</f>
        <v>1200</v>
      </c>
      <c r="F22" s="37" t="n">
        <f aca="false">IF($D22="","",$D22*INDEX('Допущения A'!$C$25:$G$31,MATCH($C22,'Допущения A'!$B$25:$B$31,0),2))</f>
        <v>1296</v>
      </c>
      <c r="G22" s="37" t="n">
        <f aca="false">IF($D22="","",$D22*INDEX('Допущения A'!$C$25:$G$31,MATCH($C22,'Допущения A'!$B$25:$B$31,0),3))</f>
        <v>1399.68</v>
      </c>
      <c r="H22" s="37" t="n">
        <f aca="false">IF($D22="","",$D22*INDEX('Допущения A'!$C$25:$G$31,MATCH($C22,'Допущения A'!$B$25:$B$31,0),4))</f>
        <v>1511.6544</v>
      </c>
      <c r="I22" s="37" t="n">
        <f aca="false">IF($D22="","",$D22*INDEX('Допущения A'!$C$25:$G$31,MATCH($C22,'Допущения A'!$B$25:$B$31,0),5))</f>
        <v>1632.586752</v>
      </c>
      <c r="J22" s="37" t="n">
        <f aca="false">SUM(E22:I22)</f>
        <v>7039.921152</v>
      </c>
      <c r="K22" s="38"/>
      <c r="L22" s="39" t="s">
        <v>193</v>
      </c>
    </row>
    <row r="23" customFormat="false" ht="15.75" hidden="false" customHeight="true" outlineLevel="0" collapsed="false">
      <c r="B23" s="22"/>
      <c r="C23" s="40" t="s">
        <v>143</v>
      </c>
      <c r="D23" s="29"/>
      <c r="E23" s="37" t="str">
        <f aca="false">IF($D23="","",$D23*INDEX('Допущения A'!$C$25:$G$31,MATCH($C23,'Допущения A'!$B$25:$B$31,0),1))</f>
        <v/>
      </c>
      <c r="F23" s="37" t="str">
        <f aca="false">IF($D23="","",$D23*INDEX('Допущения A'!$C$25:$G$31,MATCH($C23,'Допущения A'!$B$25:$B$31,0),2))</f>
        <v/>
      </c>
      <c r="G23" s="37" t="str">
        <f aca="false">IF($D23="","",$D23*INDEX('Допущения A'!$C$25:$G$31,MATCH($C23,'Допущения A'!$B$25:$B$31,0),3))</f>
        <v/>
      </c>
      <c r="H23" s="37" t="str">
        <f aca="false">IF($D23="","",$D23*INDEX('Допущения A'!$C$25:$G$31,MATCH($C23,'Допущения A'!$B$25:$B$31,0),4))</f>
        <v/>
      </c>
      <c r="I23" s="37" t="str">
        <f aca="false">IF($D23="","",$D23*INDEX('Допущения A'!$C$25:$G$31,MATCH($C23,'Допущения A'!$B$25:$B$31,0),5))</f>
        <v/>
      </c>
      <c r="J23" s="37" t="n">
        <f aca="false">SUM(E23:I23)</f>
        <v>0</v>
      </c>
      <c r="K23" s="38"/>
      <c r="L23" s="39" t="s">
        <v>181</v>
      </c>
    </row>
    <row r="24" customFormat="false" ht="15.75" hidden="false" customHeight="true" outlineLevel="0" collapsed="false">
      <c r="B24" s="41" t="s">
        <v>182</v>
      </c>
      <c r="C24" s="42"/>
      <c r="D24" s="42"/>
      <c r="E24" s="43" t="n">
        <f aca="false">SUM(E18:E23)</f>
        <v>8400</v>
      </c>
      <c r="F24" s="43" t="n">
        <f aca="false">SUM(F18:F23)</f>
        <v>15619.8047039543</v>
      </c>
      <c r="G24" s="43" t="n">
        <f aca="false">SUM(G18:G23)</f>
        <v>26391.0295765825</v>
      </c>
      <c r="H24" s="43" t="n">
        <f aca="false">SUM(H18:H23)</f>
        <v>38312.1606052909</v>
      </c>
      <c r="I24" s="43" t="n">
        <f aca="false">SUM(I18:I23)</f>
        <v>53696.2487246552</v>
      </c>
      <c r="J24" s="43" t="n">
        <f aca="false">SUM(J18:J23)</f>
        <v>142419.243610483</v>
      </c>
      <c r="K24" s="44" t="n">
        <f aca="false">IFERROR(J24/$J$51,0)</f>
        <v>0.00332870628468091</v>
      </c>
      <c r="L24" s="42"/>
    </row>
    <row r="25" customFormat="false" ht="15.75" hidden="false" customHeight="true" outlineLevel="0" collapsed="false">
      <c r="C25" s="45"/>
    </row>
    <row r="26" customFormat="false" ht="15.75" hidden="false" customHeight="true" outlineLevel="0" collapsed="false">
      <c r="B26" s="19" t="s">
        <v>194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</row>
    <row r="27" customFormat="false" ht="15.75" hidden="false" customHeight="true" outlineLevel="0" collapsed="false">
      <c r="B27" s="22" t="s">
        <v>195</v>
      </c>
      <c r="C27" s="35" t="s">
        <v>153</v>
      </c>
      <c r="D27" s="36" t="n">
        <f aca="false">'Допущения A'!C10*0.023</f>
        <v>276000</v>
      </c>
      <c r="E27" s="37" t="n">
        <f aca="false">IF($D27="","",$D27*INDEX('Допущения A'!$C$25:$G$31,MATCH($C27,'Допущения A'!$B$25:$B$31,0),1))</f>
        <v>276000</v>
      </c>
      <c r="F27" s="37" t="n">
        <f aca="false">IF($D27="","",$D27*INDEX('Допущения A'!$C$25:$G$31,MATCH($C27,'Допущения A'!$B$25:$B$31,0),2))</f>
        <v>1159200</v>
      </c>
      <c r="G27" s="37" t="n">
        <f aca="false">IF($D27="","",$D27*INDEX('Допущения A'!$C$25:$G$31,MATCH($C27,'Допущения A'!$B$25:$B$31,0),3))</f>
        <v>3036000</v>
      </c>
      <c r="H27" s="37" t="n">
        <f aca="false">IF($D27="","",$D27*INDEX('Допущения A'!$C$25:$G$31,MATCH($C27,'Допущения A'!$B$25:$B$31,0),4))</f>
        <v>5819000</v>
      </c>
      <c r="I27" s="37" t="n">
        <f aca="false">IF($D27="","",$D27*INDEX('Допущения A'!$C$25:$G$31,MATCH($C27,'Допущения A'!$B$25:$B$31,0),5))</f>
        <v>9936000</v>
      </c>
      <c r="J27" s="37" t="n">
        <f aca="false">SUM(E27:I27)</f>
        <v>20226200</v>
      </c>
      <c r="K27" s="38"/>
      <c r="L27" s="39" t="s">
        <v>196</v>
      </c>
    </row>
    <row r="28" customFormat="false" ht="15.75" hidden="false" customHeight="true" outlineLevel="0" collapsed="false">
      <c r="B28" s="22" t="s">
        <v>197</v>
      </c>
      <c r="C28" s="35" t="s">
        <v>151</v>
      </c>
      <c r="D28" s="36" t="n">
        <v>36000</v>
      </c>
      <c r="E28" s="37" t="n">
        <f aca="false">IF($D28="","",$D28*INDEX('Допущения A'!$C$25:$G$31,MATCH($C28,'Допущения A'!$B$25:$B$31,0),1))</f>
        <v>36000</v>
      </c>
      <c r="F28" s="37" t="n">
        <f aca="false">IF($D28="","",$D28*INDEX('Допущения A'!$C$25:$G$31,MATCH($C28,'Допущения A'!$B$25:$B$31,0),2))</f>
        <v>144000</v>
      </c>
      <c r="G28" s="37" t="n">
        <f aca="false">IF($D28="","",$D28*INDEX('Допущения A'!$C$25:$G$31,MATCH($C28,'Допущения A'!$B$25:$B$31,0),3))</f>
        <v>360000</v>
      </c>
      <c r="H28" s="37" t="n">
        <f aca="false">IF($D28="","",$D28*INDEX('Допущения A'!$C$25:$G$31,MATCH($C28,'Допущения A'!$B$25:$B$31,0),4))</f>
        <v>660000</v>
      </c>
      <c r="I28" s="37" t="n">
        <f aca="false">IF($D28="","",$D28*INDEX('Допущения A'!$C$25:$G$31,MATCH($C28,'Допущения A'!$B$25:$B$31,0),5))</f>
        <v>1080000</v>
      </c>
      <c r="J28" s="37" t="n">
        <f aca="false">SUM(E28:I28)</f>
        <v>2280000</v>
      </c>
      <c r="K28" s="38"/>
      <c r="L28" s="39" t="s">
        <v>198</v>
      </c>
    </row>
    <row r="29" customFormat="false" ht="15.75" hidden="false" customHeight="true" outlineLevel="0" collapsed="false">
      <c r="B29" s="22" t="s">
        <v>199</v>
      </c>
      <c r="C29" s="35" t="s">
        <v>151</v>
      </c>
      <c r="D29" s="36" t="n">
        <v>9000</v>
      </c>
      <c r="E29" s="37" t="n">
        <f aca="false">IF($D29="","",$D29*INDEX('Допущения A'!$C$25:$G$31,MATCH($C29,'Допущения A'!$B$25:$B$31,0),1))</f>
        <v>9000</v>
      </c>
      <c r="F29" s="37" t="n">
        <f aca="false">IF($D29="","",$D29*INDEX('Допущения A'!$C$25:$G$31,MATCH($C29,'Допущения A'!$B$25:$B$31,0),2))</f>
        <v>36000</v>
      </c>
      <c r="G29" s="37" t="n">
        <f aca="false">IF($D29="","",$D29*INDEX('Допущения A'!$C$25:$G$31,MATCH($C29,'Допущения A'!$B$25:$B$31,0),3))</f>
        <v>90000</v>
      </c>
      <c r="H29" s="37" t="n">
        <f aca="false">IF($D29="","",$D29*INDEX('Допущения A'!$C$25:$G$31,MATCH($C29,'Допущения A'!$B$25:$B$31,0),4))</f>
        <v>165000</v>
      </c>
      <c r="I29" s="37" t="n">
        <f aca="false">IF($D29="","",$D29*INDEX('Допущения A'!$C$25:$G$31,MATCH($C29,'Допущения A'!$B$25:$B$31,0),5))</f>
        <v>270000</v>
      </c>
      <c r="J29" s="37" t="n">
        <f aca="false">SUM(E29:I29)</f>
        <v>570000</v>
      </c>
      <c r="K29" s="38"/>
      <c r="L29" s="39" t="s">
        <v>200</v>
      </c>
    </row>
    <row r="30" customFormat="false" ht="15.75" hidden="false" customHeight="true" outlineLevel="0" collapsed="false">
      <c r="B30" s="22" t="s">
        <v>201</v>
      </c>
      <c r="C30" s="35" t="s">
        <v>151</v>
      </c>
      <c r="D30" s="36" t="n">
        <v>60000</v>
      </c>
      <c r="E30" s="37" t="n">
        <f aca="false">IF($D30="","",$D30*INDEX('Допущения A'!$C$25:$G$31,MATCH($C30,'Допущения A'!$B$25:$B$31,0),1))</f>
        <v>60000</v>
      </c>
      <c r="F30" s="37" t="n">
        <f aca="false">IF($D30="","",$D30*INDEX('Допущения A'!$C$25:$G$31,MATCH($C30,'Допущения A'!$B$25:$B$31,0),2))</f>
        <v>240000</v>
      </c>
      <c r="G30" s="37" t="n">
        <f aca="false">IF($D30="","",$D30*INDEX('Допущения A'!$C$25:$G$31,MATCH($C30,'Допущения A'!$B$25:$B$31,0),3))</f>
        <v>600000</v>
      </c>
      <c r="H30" s="37" t="n">
        <f aca="false">IF($D30="","",$D30*INDEX('Допущения A'!$C$25:$G$31,MATCH($C30,'Допущения A'!$B$25:$B$31,0),4))</f>
        <v>1100000</v>
      </c>
      <c r="I30" s="37" t="n">
        <f aca="false">IF($D30="","",$D30*INDEX('Допущения A'!$C$25:$G$31,MATCH($C30,'Допущения A'!$B$25:$B$31,0),5))</f>
        <v>1800000</v>
      </c>
      <c r="J30" s="37" t="n">
        <f aca="false">SUM(E30:I30)</f>
        <v>3800000</v>
      </c>
      <c r="K30" s="38"/>
      <c r="L30" s="39" t="s">
        <v>202</v>
      </c>
    </row>
    <row r="31" customFormat="false" ht="15.75" hidden="false" customHeight="true" outlineLevel="0" collapsed="false">
      <c r="B31" s="22" t="s">
        <v>203</v>
      </c>
      <c r="C31" s="35" t="s">
        <v>151</v>
      </c>
      <c r="D31" s="36" t="n">
        <v>7200</v>
      </c>
      <c r="E31" s="37" t="n">
        <f aca="false">IF($D31="","",$D31*INDEX('Допущения A'!$C$25:$G$31,MATCH($C31,'Допущения A'!$B$25:$B$31,0),1))</f>
        <v>7200</v>
      </c>
      <c r="F31" s="37" t="n">
        <f aca="false">IF($D31="","",$D31*INDEX('Допущения A'!$C$25:$G$31,MATCH($C31,'Допущения A'!$B$25:$B$31,0),2))</f>
        <v>28800</v>
      </c>
      <c r="G31" s="37" t="n">
        <f aca="false">IF($D31="","",$D31*INDEX('Допущения A'!$C$25:$G$31,MATCH($C31,'Допущения A'!$B$25:$B$31,0),3))</f>
        <v>72000</v>
      </c>
      <c r="H31" s="37" t="n">
        <f aca="false">IF($D31="","",$D31*INDEX('Допущения A'!$C$25:$G$31,MATCH($C31,'Допущения A'!$B$25:$B$31,0),4))</f>
        <v>132000</v>
      </c>
      <c r="I31" s="37" t="n">
        <f aca="false">IF($D31="","",$D31*INDEX('Допущения A'!$C$25:$G$31,MATCH($C31,'Допущения A'!$B$25:$B$31,0),5))</f>
        <v>216000</v>
      </c>
      <c r="J31" s="37" t="n">
        <f aca="false">SUM(E31:I31)</f>
        <v>456000</v>
      </c>
      <c r="K31" s="38"/>
      <c r="L31" s="39" t="s">
        <v>204</v>
      </c>
    </row>
    <row r="32" customFormat="false" ht="15.75" hidden="false" customHeight="true" outlineLevel="0" collapsed="false">
      <c r="B32" s="41" t="s">
        <v>182</v>
      </c>
      <c r="C32" s="42"/>
      <c r="D32" s="42"/>
      <c r="E32" s="43" t="n">
        <f aca="false">SUM(E27:E31)</f>
        <v>388200</v>
      </c>
      <c r="F32" s="43" t="n">
        <f aca="false">SUM(F27:F31)</f>
        <v>1608000</v>
      </c>
      <c r="G32" s="43" t="n">
        <f aca="false">SUM(G27:G31)</f>
        <v>4158000</v>
      </c>
      <c r="H32" s="43" t="n">
        <f aca="false">SUM(H27:H31)</f>
        <v>7876000</v>
      </c>
      <c r="I32" s="43" t="n">
        <f aca="false">SUM(I27:I31)</f>
        <v>13302000</v>
      </c>
      <c r="J32" s="43" t="n">
        <f aca="false">SUM(J27:J31)</f>
        <v>27332200</v>
      </c>
      <c r="K32" s="44" t="n">
        <f aca="false">IFERROR(J32/$J$51,0)</f>
        <v>0.638824245991564</v>
      </c>
      <c r="L32" s="42"/>
    </row>
    <row r="33" customFormat="false" ht="15.75" hidden="false" customHeight="true" outlineLevel="0" collapsed="false">
      <c r="C33" s="45"/>
    </row>
    <row r="34" customFormat="false" ht="15.75" hidden="false" customHeight="true" outlineLevel="0" collapsed="false">
      <c r="B34" s="19" t="s">
        <v>205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</row>
    <row r="35" customFormat="false" ht="15.75" hidden="false" customHeight="true" outlineLevel="0" collapsed="false">
      <c r="B35" s="22" t="s">
        <v>206</v>
      </c>
      <c r="C35" s="35" t="s">
        <v>147</v>
      </c>
      <c r="D35" s="36" t="n">
        <v>330000</v>
      </c>
      <c r="E35" s="37" t="n">
        <f aca="false">5*66000*INDEX('Допущения A'!$C$25:$G$31,MATCH("ФОТ",'Допущения A'!$B$25:$B$31,0),1)</f>
        <v>330000</v>
      </c>
      <c r="F35" s="37" t="n">
        <f aca="false">8*66000*INDEX('Допущения A'!$C$25:$G$31,MATCH("ФОТ",'Допущения A'!$B$25:$B$31,0),2)</f>
        <v>591360</v>
      </c>
      <c r="G35" s="37" t="n">
        <f aca="false">12*66000*INDEX('Допущения A'!$C$25:$G$31,MATCH("ФОТ",'Допущения A'!$B$25:$B$31,0),3)</f>
        <v>993484.8</v>
      </c>
      <c r="H35" s="37" t="n">
        <f aca="false">15*66000*INDEX('Допущения A'!$C$25:$G$31,MATCH("ФОТ",'Допущения A'!$B$25:$B$31,0),4)</f>
        <v>1390878.72</v>
      </c>
      <c r="I35" s="37" t="n">
        <f aca="false">18*66000*INDEX('Допущения A'!$C$25:$G$31,MATCH("ФОТ",'Допущения A'!$B$25:$B$31,0),5)</f>
        <v>1869340.99968</v>
      </c>
      <c r="J35" s="37" t="n">
        <f aca="false">SUM(E35:I35)</f>
        <v>5175064.51968</v>
      </c>
      <c r="K35" s="38"/>
      <c r="L35" s="39" t="s">
        <v>207</v>
      </c>
    </row>
    <row r="36" customFormat="false" ht="15.75" hidden="false" customHeight="true" outlineLevel="0" collapsed="false">
      <c r="B36" s="22" t="s">
        <v>208</v>
      </c>
      <c r="C36" s="35" t="s">
        <v>147</v>
      </c>
      <c r="D36" s="36" t="n">
        <v>78000</v>
      </c>
      <c r="E36" s="37" t="n">
        <f aca="false">1*78000*INDEX('Допущения A'!$C$25:$G$31,MATCH("ФОТ",'Допущения A'!$B$25:$B$31,0),1)</f>
        <v>78000</v>
      </c>
      <c r="F36" s="37" t="n">
        <f aca="false">2*78000*INDEX('Допущения A'!$C$25:$G$31,MATCH("ФОТ",'Допущения A'!$B$25:$B$31,0),2)</f>
        <v>174720</v>
      </c>
      <c r="G36" s="37" t="n">
        <f aca="false">3*78000*INDEX('Допущения A'!$C$25:$G$31,MATCH("ФОТ",'Допущения A'!$B$25:$B$31,0),3)</f>
        <v>293529.6</v>
      </c>
      <c r="H36" s="37" t="n">
        <f aca="false">3*78000*INDEX('Допущения A'!$C$25:$G$31,MATCH("ФОТ",'Допущения A'!$B$25:$B$31,0),4)</f>
        <v>328753.152</v>
      </c>
      <c r="I36" s="37" t="n">
        <f aca="false">4*78000*INDEX('Допущения A'!$C$25:$G$31,MATCH("ФОТ",'Допущения A'!$B$25:$B$31,0),5)</f>
        <v>490938.04032</v>
      </c>
      <c r="J36" s="37" t="n">
        <f aca="false">SUM(E36:I36)</f>
        <v>1365940.79232</v>
      </c>
      <c r="K36" s="38"/>
      <c r="L36" s="39" t="s">
        <v>209</v>
      </c>
    </row>
    <row r="37" customFormat="false" ht="15.75" hidden="false" customHeight="true" outlineLevel="0" collapsed="false">
      <c r="B37" s="22" t="s">
        <v>210</v>
      </c>
      <c r="C37" s="35" t="s">
        <v>147</v>
      </c>
      <c r="D37" s="36" t="n">
        <v>24000</v>
      </c>
      <c r="E37" s="37" t="n">
        <f aca="false">0.5*48000*INDEX('Допущения A'!$C$25:$G$31,MATCH("ФОТ",'Допущения A'!$B$25:$B$31,0),1)</f>
        <v>24000</v>
      </c>
      <c r="F37" s="37" t="n">
        <f aca="false">1*48000*INDEX('Допущения A'!$C$25:$G$31,MATCH("ФОТ",'Допущения A'!$B$25:$B$31,0),2)</f>
        <v>53760</v>
      </c>
      <c r="G37" s="37" t="n">
        <f aca="false">2*48000*INDEX('Допущения A'!$C$25:$G$31,MATCH("ФОТ",'Допущения A'!$B$25:$B$31,0),3)</f>
        <v>120422.4</v>
      </c>
      <c r="H37" s="37" t="n">
        <f aca="false">2*48000*INDEX('Допущения A'!$C$25:$G$31,MATCH("ФОТ",'Допущения A'!$B$25:$B$31,0),4)</f>
        <v>134873.088</v>
      </c>
      <c r="I37" s="37" t="n">
        <f aca="false">3*48000*INDEX('Допущения A'!$C$25:$G$31,MATCH("ФОТ",'Допущения A'!$B$25:$B$31,0),5)</f>
        <v>226586.78784</v>
      </c>
      <c r="J37" s="37" t="n">
        <f aca="false">SUM(E37:I37)</f>
        <v>559642.27584</v>
      </c>
      <c r="K37" s="38"/>
      <c r="L37" s="39" t="s">
        <v>211</v>
      </c>
    </row>
    <row r="38" customFormat="false" ht="15.75" hidden="false" customHeight="true" outlineLevel="0" collapsed="false">
      <c r="B38" s="22" t="s">
        <v>212</v>
      </c>
      <c r="C38" s="35" t="s">
        <v>147</v>
      </c>
      <c r="D38" s="36" t="n">
        <v>240000</v>
      </c>
      <c r="E38" s="37" t="n">
        <f aca="false">IF($D38="","",$D38*INDEX('Допущения A'!$C$25:$G$31,MATCH($C38,'Допущения A'!$B$25:$B$31,0),1))</f>
        <v>240000</v>
      </c>
      <c r="F38" s="37" t="n">
        <f aca="false">IF($D38="","",$D38*INDEX('Допущения A'!$C$25:$G$31,MATCH($C38,'Допущения A'!$B$25:$B$31,0),2))</f>
        <v>268800</v>
      </c>
      <c r="G38" s="37" t="n">
        <f aca="false">IF($D38="","",$D38*INDEX('Допущения A'!$C$25:$G$31,MATCH($C38,'Допущения A'!$B$25:$B$31,0),3))</f>
        <v>301056</v>
      </c>
      <c r="H38" s="37" t="n">
        <f aca="false">IF($D38="","",$D38*INDEX('Допущения A'!$C$25:$G$31,MATCH($C38,'Допущения A'!$B$25:$B$31,0),4))</f>
        <v>337182.72</v>
      </c>
      <c r="I38" s="37" t="n">
        <f aca="false">IF($D38="","",$D38*INDEX('Допущения A'!$C$25:$G$31,MATCH($C38,'Допущения A'!$B$25:$B$31,0),5))</f>
        <v>377644.6464</v>
      </c>
      <c r="J38" s="37" t="n">
        <f aca="false">SUM(E38:I38)</f>
        <v>1524683.3664</v>
      </c>
      <c r="K38" s="38"/>
      <c r="L38" s="39" t="s">
        <v>213</v>
      </c>
    </row>
    <row r="39" customFormat="false" ht="15.75" hidden="false" customHeight="true" outlineLevel="0" collapsed="false">
      <c r="B39" s="22"/>
      <c r="C39" s="40" t="s">
        <v>143</v>
      </c>
      <c r="D39" s="29"/>
      <c r="E39" s="37" t="str">
        <f aca="false">IF($D39="","",$D39*INDEX('Допущения A'!$C$25:$G$31,MATCH($C39,'Допущения A'!$B$25:$B$31,0),1))</f>
        <v/>
      </c>
      <c r="F39" s="37" t="str">
        <f aca="false">IF($D39="","",$D39*INDEX('Допущения A'!$C$25:$G$31,MATCH($C39,'Допущения A'!$B$25:$B$31,0),2))</f>
        <v/>
      </c>
      <c r="G39" s="37" t="str">
        <f aca="false">IF($D39="","",$D39*INDEX('Допущения A'!$C$25:$G$31,MATCH($C39,'Допущения A'!$B$25:$B$31,0),3))</f>
        <v/>
      </c>
      <c r="H39" s="37" t="str">
        <f aca="false">IF($D39="","",$D39*INDEX('Допущения A'!$C$25:$G$31,MATCH($C39,'Допущения A'!$B$25:$B$31,0),4))</f>
        <v/>
      </c>
      <c r="I39" s="37" t="str">
        <f aca="false">IF($D39="","",$D39*INDEX('Допущения A'!$C$25:$G$31,MATCH($C39,'Допущения A'!$B$25:$B$31,0),5))</f>
        <v/>
      </c>
      <c r="J39" s="37" t="n">
        <f aca="false">SUM(E39:I39)</f>
        <v>0</v>
      </c>
      <c r="K39" s="38"/>
      <c r="L39" s="39" t="s">
        <v>181</v>
      </c>
    </row>
    <row r="40" customFormat="false" ht="15.75" hidden="false" customHeight="true" outlineLevel="0" collapsed="false">
      <c r="B40" s="41" t="s">
        <v>182</v>
      </c>
      <c r="C40" s="42"/>
      <c r="D40" s="42"/>
      <c r="E40" s="43" t="n">
        <f aca="false">SUM(E35:E39)</f>
        <v>672000</v>
      </c>
      <c r="F40" s="43" t="n">
        <f aca="false">SUM(F35:F39)</f>
        <v>1088640</v>
      </c>
      <c r="G40" s="43" t="n">
        <f aca="false">SUM(G35:G39)</f>
        <v>1708492.8</v>
      </c>
      <c r="H40" s="43" t="n">
        <f aca="false">SUM(H35:H39)</f>
        <v>2191687.68</v>
      </c>
      <c r="I40" s="43" t="n">
        <f aca="false">SUM(I35:I39)</f>
        <v>2964510.47424</v>
      </c>
      <c r="J40" s="43" t="n">
        <f aca="false">SUM(J35:J39)</f>
        <v>8625330.95424</v>
      </c>
      <c r="K40" s="44" t="n">
        <f aca="false">IFERROR(J40/$J$51,0)</f>
        <v>0.201596305576209</v>
      </c>
      <c r="L40" s="42"/>
    </row>
    <row r="41" customFormat="false" ht="15.75" hidden="false" customHeight="true" outlineLevel="0" collapsed="false">
      <c r="C41" s="45"/>
    </row>
    <row r="42" customFormat="false" ht="15.75" hidden="false" customHeight="true" outlineLevel="0" collapsed="false">
      <c r="B42" s="19" t="s">
        <v>214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</row>
    <row r="43" customFormat="false" ht="15.75" hidden="false" customHeight="true" outlineLevel="0" collapsed="false">
      <c r="B43" s="22" t="s">
        <v>215</v>
      </c>
      <c r="C43" s="35" t="s">
        <v>143</v>
      </c>
      <c r="D43" s="36" t="n">
        <v>25000</v>
      </c>
      <c r="E43" s="36" t="n">
        <v>25000</v>
      </c>
      <c r="F43" s="36" t="n">
        <v>10000</v>
      </c>
      <c r="G43" s="36" t="n">
        <v>10000</v>
      </c>
      <c r="H43" s="36" t="n">
        <v>10000</v>
      </c>
      <c r="I43" s="36" t="n">
        <v>10000</v>
      </c>
      <c r="J43" s="37" t="n">
        <f aca="false">SUM(E43:I43)</f>
        <v>65000</v>
      </c>
      <c r="K43" s="38"/>
      <c r="L43" s="39" t="s">
        <v>216</v>
      </c>
    </row>
    <row r="44" customFormat="false" ht="15.75" hidden="false" customHeight="true" outlineLevel="0" collapsed="false">
      <c r="B44" s="22" t="s">
        <v>217</v>
      </c>
      <c r="C44" s="35" t="s">
        <v>145</v>
      </c>
      <c r="D44" s="36" t="n">
        <v>15000</v>
      </c>
      <c r="E44" s="37" t="n">
        <f aca="false">IF($D44="","",$D44*INDEX('Допущения A'!$C$25:$G$31,MATCH($C44,'Допущения A'!$B$25:$B$31,0),1))</f>
        <v>15000</v>
      </c>
      <c r="F44" s="37" t="n">
        <f aca="false">IF($D44="","",$D44*INDEX('Допущения A'!$C$25:$G$31,MATCH($C44,'Допущения A'!$B$25:$B$31,0),2))</f>
        <v>16200</v>
      </c>
      <c r="G44" s="37" t="n">
        <f aca="false">IF($D44="","",$D44*INDEX('Допущения A'!$C$25:$G$31,MATCH($C44,'Допущения A'!$B$25:$B$31,0),3))</f>
        <v>17496</v>
      </c>
      <c r="H44" s="37" t="n">
        <f aca="false">IF($D44="","",$D44*INDEX('Допущения A'!$C$25:$G$31,MATCH($C44,'Допущения A'!$B$25:$B$31,0),4))</f>
        <v>18895.68</v>
      </c>
      <c r="I44" s="37" t="n">
        <f aca="false">IF($D44="","",$D44*INDEX('Допущения A'!$C$25:$G$31,MATCH($C44,'Допущения A'!$B$25:$B$31,0),5))</f>
        <v>20407.3344</v>
      </c>
      <c r="J44" s="37" t="n">
        <f aca="false">SUM(E44:I44)</f>
        <v>87999.0144</v>
      </c>
      <c r="K44" s="38"/>
      <c r="L44" s="39" t="s">
        <v>218</v>
      </c>
    </row>
    <row r="45" customFormat="false" ht="15.75" hidden="false" customHeight="true" outlineLevel="0" collapsed="false">
      <c r="B45" s="22" t="s">
        <v>219</v>
      </c>
      <c r="C45" s="35" t="s">
        <v>143</v>
      </c>
      <c r="D45" s="36" t="n">
        <v>20000</v>
      </c>
      <c r="E45" s="37" t="n">
        <f aca="false">$D45</f>
        <v>20000</v>
      </c>
      <c r="F45" s="36" t="n">
        <v>0</v>
      </c>
      <c r="G45" s="36" t="n">
        <v>0</v>
      </c>
      <c r="H45" s="36" t="n">
        <v>0</v>
      </c>
      <c r="I45" s="36" t="n">
        <v>0</v>
      </c>
      <c r="J45" s="37" t="n">
        <f aca="false">SUM(E45:I45)</f>
        <v>20000</v>
      </c>
      <c r="K45" s="38"/>
      <c r="L45" s="39" t="s">
        <v>220</v>
      </c>
    </row>
    <row r="46" customFormat="false" ht="15.75" hidden="false" customHeight="true" outlineLevel="0" collapsed="false">
      <c r="B46" s="22" t="s">
        <v>221</v>
      </c>
      <c r="C46" s="35" t="s">
        <v>147</v>
      </c>
      <c r="D46" s="36" t="n">
        <v>10000</v>
      </c>
      <c r="E46" s="37" t="n">
        <f aca="false">IF($D46="","",$D46*INDEX('Допущения A'!$C$25:$G$31,MATCH($C46,'Допущения A'!$B$25:$B$31,0),1))</f>
        <v>10000</v>
      </c>
      <c r="F46" s="37" t="n">
        <f aca="false">IF($D46="","",$D46*INDEX('Допущения A'!$C$25:$G$31,MATCH($C46,'Допущения A'!$B$25:$B$31,0),2))</f>
        <v>11200</v>
      </c>
      <c r="G46" s="37" t="n">
        <f aca="false">IF($D46="","",$D46*INDEX('Допущения A'!$C$25:$G$31,MATCH($C46,'Допущения A'!$B$25:$B$31,0),3))</f>
        <v>12544</v>
      </c>
      <c r="H46" s="37" t="n">
        <f aca="false">IF($D46="","",$D46*INDEX('Допущения A'!$C$25:$G$31,MATCH($C46,'Допущения A'!$B$25:$B$31,0),4))</f>
        <v>14049.28</v>
      </c>
      <c r="I46" s="37" t="n">
        <f aca="false">IF($D46="","",$D46*INDEX('Допущения A'!$C$25:$G$31,MATCH($C46,'Допущения A'!$B$25:$B$31,0),5))</f>
        <v>15735.1936</v>
      </c>
      <c r="J46" s="37" t="n">
        <f aca="false">SUM(E46:I46)</f>
        <v>63528.4736</v>
      </c>
      <c r="K46" s="38"/>
      <c r="L46" s="39" t="s">
        <v>222</v>
      </c>
    </row>
    <row r="47" customFormat="false" ht="15.75" hidden="false" customHeight="true" outlineLevel="0" collapsed="false">
      <c r="B47" s="22"/>
      <c r="C47" s="40" t="s">
        <v>143</v>
      </c>
      <c r="D47" s="29"/>
      <c r="E47" s="37" t="str">
        <f aca="false">IF($D47="","",$D47*INDEX('Допущения A'!$C$25:$G$31,MATCH($C47,'Допущения A'!$B$25:$B$31,0),1))</f>
        <v/>
      </c>
      <c r="F47" s="37" t="str">
        <f aca="false">IF($D47="","",$D47*INDEX('Допущения A'!$C$25:$G$31,MATCH($C47,'Допущения A'!$B$25:$B$31,0),2))</f>
        <v/>
      </c>
      <c r="G47" s="37" t="str">
        <f aca="false">IF($D47="","",$D47*INDEX('Допущения A'!$C$25:$G$31,MATCH($C47,'Допущения A'!$B$25:$B$31,0),3))</f>
        <v/>
      </c>
      <c r="H47" s="37" t="str">
        <f aca="false">IF($D47="","",$D47*INDEX('Допущения A'!$C$25:$G$31,MATCH($C47,'Допущения A'!$B$25:$B$31,0),4))</f>
        <v/>
      </c>
      <c r="I47" s="37" t="str">
        <f aca="false">IF($D47="","",$D47*INDEX('Допущения A'!$C$25:$G$31,MATCH($C47,'Допущения A'!$B$25:$B$31,0),5))</f>
        <v/>
      </c>
      <c r="J47" s="37" t="n">
        <f aca="false">SUM(E47:I47)</f>
        <v>0</v>
      </c>
      <c r="K47" s="38"/>
      <c r="L47" s="39" t="s">
        <v>181</v>
      </c>
    </row>
    <row r="48" customFormat="false" ht="15.75" hidden="false" customHeight="true" outlineLevel="0" collapsed="false">
      <c r="B48" s="41" t="s">
        <v>182</v>
      </c>
      <c r="C48" s="42"/>
      <c r="D48" s="42"/>
      <c r="E48" s="43" t="n">
        <f aca="false">SUM(E43:E47)</f>
        <v>70000</v>
      </c>
      <c r="F48" s="43" t="n">
        <f aca="false">SUM(F43:F47)</f>
        <v>37400</v>
      </c>
      <c r="G48" s="43" t="n">
        <f aca="false">SUM(G43:G47)</f>
        <v>40040</v>
      </c>
      <c r="H48" s="43" t="n">
        <f aca="false">SUM(H43:H47)</f>
        <v>42944.96</v>
      </c>
      <c r="I48" s="43" t="n">
        <f aca="false">SUM(I43:I47)</f>
        <v>46142.528</v>
      </c>
      <c r="J48" s="43" t="n">
        <f aca="false">SUM(J43:J47)</f>
        <v>236527.488</v>
      </c>
      <c r="K48" s="44" t="n">
        <f aca="false">IFERROR(J48/$J$51,0)</f>
        <v>0.0055282594953161</v>
      </c>
      <c r="L48" s="42"/>
    </row>
    <row r="49" customFormat="false" ht="15.75" hidden="false" customHeight="true" outlineLevel="0" collapsed="false">
      <c r="C49" s="45"/>
    </row>
    <row r="50" customFormat="false" ht="15.75" hidden="false" customHeight="true" outlineLevel="0" collapsed="false">
      <c r="B50" s="26" t="s">
        <v>223</v>
      </c>
      <c r="C50" s="45"/>
      <c r="E50" s="46" t="n">
        <f aca="false">(E15+E24+E32+E40+E48)*'Допущения A'!$C$17</f>
        <v>178080</v>
      </c>
      <c r="F50" s="46" t="n">
        <f aca="false">(F15+F24+F32+F40+F48)*'Допущения A'!$C$17</f>
        <v>426883.780113502</v>
      </c>
      <c r="G50" s="46" t="n">
        <f aca="false">(G15+G24+G32+G40+G48)*'Допущения A'!$C$17</f>
        <v>914427.249589652</v>
      </c>
      <c r="H50" s="46" t="n">
        <f aca="false">(H15+H24+H32+H40+H48)*'Допущения A'!$C$17</f>
        <v>1557582.18658138</v>
      </c>
      <c r="I50" s="46" t="n">
        <f aca="false">(I15+I24+I32+I40+I48)*'Допущения A'!$C$17</f>
        <v>2503700.32199641</v>
      </c>
      <c r="J50" s="37" t="n">
        <f aca="false">SUM(E50:I50)</f>
        <v>5580673.53828094</v>
      </c>
      <c r="L50" s="18" t="s">
        <v>224</v>
      </c>
    </row>
    <row r="51" customFormat="false" ht="15.75" hidden="false" customHeight="true" outlineLevel="0" collapsed="false">
      <c r="B51" s="41" t="s">
        <v>225</v>
      </c>
      <c r="C51" s="45"/>
      <c r="E51" s="43" t="n">
        <f aca="false">E15+E24+E32+E40+E48+E50</f>
        <v>1365280</v>
      </c>
      <c r="F51" s="43" t="n">
        <f aca="false">F15+F24+F32+F40+F48+F50</f>
        <v>3272775.64753685</v>
      </c>
      <c r="G51" s="43" t="n">
        <f aca="false">G15+G24+G32+G40+G48+G50</f>
        <v>7010608.91352067</v>
      </c>
      <c r="H51" s="43" t="n">
        <f aca="false">H15+H24+H32+H40+H48+H50</f>
        <v>11941463.4304572</v>
      </c>
      <c r="I51" s="43" t="n">
        <f aca="false">I15+I24+I32+I40+I48+I50</f>
        <v>19195035.8019725</v>
      </c>
      <c r="J51" s="43" t="n">
        <f aca="false">SUM(E51:I51)</f>
        <v>42785163.7934872</v>
      </c>
    </row>
    <row r="52" customFormat="false" ht="15.75" hidden="false" customHeight="true" outlineLevel="0" collapsed="false">
      <c r="B52" s="19" t="s">
        <v>226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</row>
    <row r="53" customFormat="false" ht="15.75" hidden="false" customHeight="true" outlineLevel="0" collapsed="false">
      <c r="B53" s="22" t="s">
        <v>227</v>
      </c>
      <c r="E53" s="46" t="n">
        <f aca="false">(1-'Допущения A'!$C$20)*525600*MIN('Допущения A'!$C$19,'Допущения A'!C10/525600*'Допущения A'!$C$22)*'Допущения A'!$C$21</f>
        <v>60000.0000000001</v>
      </c>
      <c r="F53" s="46" t="n">
        <f aca="false">(1-'Допущения A'!$C$20)*525600*MIN('Допущения A'!$C$19,'Допущения A'!D10/525600*'Допущения A'!$C$22)*'Допущения A'!$C$21</f>
        <v>252000</v>
      </c>
      <c r="G53" s="46" t="n">
        <f aca="false">(1-'Допущения A'!$C$20)*525600*MIN('Допущения A'!$C$19,'Допущения A'!E10/525600*'Допущения A'!$C$22)*'Допущения A'!$C$21</f>
        <v>660000.000000001</v>
      </c>
      <c r="H53" s="46" t="n">
        <f aca="false">(1-'Допущения A'!$C$20)*525600*MIN('Допущения A'!$C$19,'Допущения A'!F10/525600*'Допущения A'!$C$22)*'Допущения A'!$C$21</f>
        <v>1265000</v>
      </c>
      <c r="I53" s="46" t="n">
        <f aca="false">(1-'Допущения A'!$C$20)*525600*MIN('Допущения A'!$C$19,'Допущения A'!G10/525600*'Допущения A'!$C$22)*'Допущения A'!$C$21</f>
        <v>2160000</v>
      </c>
      <c r="J53" s="37" t="n">
        <f aca="false">SUM(E53:I53)</f>
        <v>4397000</v>
      </c>
      <c r="L53" s="24" t="s">
        <v>228</v>
      </c>
    </row>
    <row r="54" customFormat="false" ht="15.75" hidden="false" customHeight="true" outlineLevel="0" collapsed="false">
      <c r="B54" s="41" t="s">
        <v>229</v>
      </c>
      <c r="E54" s="43" t="n">
        <f aca="false">E51+E53</f>
        <v>1425280</v>
      </c>
      <c r="F54" s="43" t="n">
        <f aca="false">F51+F53</f>
        <v>3524775.64753685</v>
      </c>
      <c r="G54" s="43" t="n">
        <f aca="false">G51+G53</f>
        <v>7670608.91352067</v>
      </c>
      <c r="H54" s="43" t="n">
        <f aca="false">H51+H53</f>
        <v>13206463.4304572</v>
      </c>
      <c r="I54" s="43" t="n">
        <f aca="false">I51+I53</f>
        <v>21355035.8019725</v>
      </c>
      <c r="J54" s="43" t="n">
        <f aca="false">SUM(E54:I54)</f>
        <v>47182163.7934872</v>
      </c>
    </row>
    <row r="55" customFormat="false" ht="15.75" hidden="false" customHeight="true" outlineLevel="0" collapsed="false">
      <c r="B55" s="22" t="s">
        <v>230</v>
      </c>
      <c r="E55" s="47" t="n">
        <f aca="false">1/(1+'Допущения A'!$C$16)^0</f>
        <v>1</v>
      </c>
      <c r="F55" s="47" t="n">
        <f aca="false">1/(1+'Допущения A'!$C$16)^1</f>
        <v>0.833333333333333</v>
      </c>
      <c r="G55" s="47" t="n">
        <f aca="false">1/(1+'Допущения A'!$C$16)^2</f>
        <v>0.694444444444444</v>
      </c>
      <c r="H55" s="47" t="n">
        <f aca="false">1/(1+'Допущения A'!$C$16)^3</f>
        <v>0.578703703703704</v>
      </c>
      <c r="I55" s="47" t="n">
        <f aca="false">1/(1+'Допущения A'!$C$16)^4</f>
        <v>0.482253086419753</v>
      </c>
    </row>
    <row r="56" customFormat="false" ht="15.75" hidden="false" customHeight="true" outlineLevel="0" collapsed="false">
      <c r="B56" s="41" t="s">
        <v>231</v>
      </c>
      <c r="E56" s="43" t="n">
        <f aca="false">E54*E55</f>
        <v>1425280</v>
      </c>
      <c r="F56" s="43" t="n">
        <f aca="false">F54*F55</f>
        <v>2937313.03961404</v>
      </c>
      <c r="G56" s="43" t="n">
        <f aca="false">G54*G55</f>
        <v>5326811.74550047</v>
      </c>
      <c r="H56" s="43" t="n">
        <f aca="false">H54*H55</f>
        <v>7642629.30003311</v>
      </c>
      <c r="I56" s="43" t="n">
        <f aca="false">I54*I55</f>
        <v>10298531.9261056</v>
      </c>
      <c r="J56" s="43" t="n">
        <f aca="false">SUM(E56:I56)</f>
        <v>27630566.0112532</v>
      </c>
    </row>
    <row r="57" customFormat="false" ht="15.75" hidden="false" customHeight="true" outlineLevel="0" collapsed="false"/>
    <row r="58" customFormat="false" ht="15.75" hidden="false" customHeight="true" outlineLevel="0" collapsed="false">
      <c r="B58" s="19" t="s">
        <v>232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</row>
    <row r="59" customFormat="false" ht="15.75" hidden="false" customHeight="true" outlineLevel="0" collapsed="false">
      <c r="B59" s="26" t="s">
        <v>233</v>
      </c>
      <c r="E59" s="48" t="n">
        <f aca="false">J51</f>
        <v>42785163.7934872</v>
      </c>
      <c r="F59" s="48"/>
      <c r="L59" s="24" t="s">
        <v>234</v>
      </c>
    </row>
    <row r="60" customFormat="false" ht="15.75" hidden="false" customHeight="true" outlineLevel="0" collapsed="false">
      <c r="B60" s="26" t="s">
        <v>235</v>
      </c>
      <c r="E60" s="48" t="n">
        <f aca="false">J54</f>
        <v>47182163.7934872</v>
      </c>
      <c r="F60" s="48"/>
      <c r="L60" s="24" t="s">
        <v>236</v>
      </c>
    </row>
    <row r="61" customFormat="false" ht="15.75" hidden="false" customHeight="true" outlineLevel="0" collapsed="false">
      <c r="B61" s="26" t="s">
        <v>237</v>
      </c>
      <c r="E61" s="48" t="n">
        <f aca="false">J56</f>
        <v>27630566.0112532</v>
      </c>
      <c r="F61" s="48"/>
      <c r="L61" s="24" t="s">
        <v>238</v>
      </c>
    </row>
    <row r="62" customFormat="false" ht="15.75" hidden="false" customHeight="true" outlineLevel="0" collapsed="false">
      <c r="B62" s="26" t="s">
        <v>239</v>
      </c>
      <c r="E62" s="48" t="n">
        <f aca="false">J51/5</f>
        <v>8557032.75869744</v>
      </c>
      <c r="F62" s="48"/>
      <c r="L62" s="24" t="s">
        <v>240</v>
      </c>
    </row>
    <row r="63" customFormat="false" ht="15.75" hidden="false" customHeight="true" outlineLevel="0" collapsed="false">
      <c r="B63" s="26" t="s">
        <v>241</v>
      </c>
      <c r="E63" s="48" t="n">
        <f aca="false">(E15+E24)/12</f>
        <v>4750</v>
      </c>
      <c r="F63" s="48"/>
      <c r="L63" s="24" t="s">
        <v>242</v>
      </c>
    </row>
    <row r="64" customFormat="false" ht="15.75" hidden="false" customHeight="true" outlineLevel="0" collapsed="false">
      <c r="B64" s="26" t="s">
        <v>243</v>
      </c>
      <c r="E64" s="49" t="str">
        <f aca="false">IF((E15+E24)/12&lt;='Допущения A'!$C$18,"В бюджете CFO","ПРЕВЫШЕНИЕ бюджета")</f>
        <v>В бюджете CFO</v>
      </c>
      <c r="F64" s="49"/>
      <c r="L64" s="24" t="s">
        <v>244</v>
      </c>
    </row>
    <row r="65" customFormat="false" ht="15.75" hidden="false" customHeight="true" outlineLevel="0" collapsed="false">
      <c r="B65" s="26" t="s">
        <v>245</v>
      </c>
      <c r="E65" s="50" t="n">
        <f aca="false">IFERROR(J51/SUM('Допущения A'!$C$8:$G$8),0)</f>
        <v>1.12592536298651</v>
      </c>
      <c r="F65" s="50"/>
      <c r="L65" s="24" t="s">
        <v>246</v>
      </c>
    </row>
    <row r="66" customFormat="false" ht="15.75" hidden="false" customHeight="true" outlineLevel="0" collapsed="false">
      <c r="B66" s="26" t="s">
        <v>247</v>
      </c>
      <c r="E66" s="50" t="n">
        <f aca="false">IFERROR(I51/'Допущения A'!$G$7,0)</f>
        <v>3.19917263366208</v>
      </c>
      <c r="F66" s="50"/>
      <c r="L66" s="24" t="s">
        <v>248</v>
      </c>
    </row>
    <row r="67" customFormat="false" ht="15.75" hidden="false" customHeight="true" outlineLevel="0" collapsed="false">
      <c r="B67" s="26" t="s">
        <v>249</v>
      </c>
      <c r="E67" s="51" t="n">
        <f aca="false">IFERROR(J51/SUM('Допущения A'!$C$10:$G$10),0)</f>
        <v>0.0486526765902743</v>
      </c>
      <c r="F67" s="51"/>
      <c r="L67" s="24" t="s">
        <v>250</v>
      </c>
    </row>
    <row r="68" customFormat="false" ht="15.75" hidden="false" customHeight="true" outlineLevel="0" collapsed="false">
      <c r="B68" s="26" t="s">
        <v>251</v>
      </c>
      <c r="E68" s="52" t="n">
        <f aca="false">IFERROR(J15/J51,0)</f>
        <v>0.0202877000435347</v>
      </c>
      <c r="F68" s="52"/>
      <c r="L68" s="24" t="s">
        <v>252</v>
      </c>
    </row>
    <row r="69" customFormat="false" ht="15.75" hidden="false" customHeight="true" outlineLevel="0" collapsed="false">
      <c r="B69" s="26" t="s">
        <v>253</v>
      </c>
      <c r="E69" s="52" t="n">
        <f aca="false">IFERROR(J32/J51,0)</f>
        <v>0.638824245991564</v>
      </c>
      <c r="F69" s="52"/>
      <c r="L69" s="24" t="s">
        <v>254</v>
      </c>
    </row>
    <row r="70" customFormat="false" ht="15.75" hidden="false" customHeight="true" outlineLevel="0" collapsed="false">
      <c r="B70" s="26" t="s">
        <v>255</v>
      </c>
      <c r="E70" s="52" t="n">
        <f aca="false">IFERROR(J40/J51,0)</f>
        <v>0.201596305576209</v>
      </c>
      <c r="F70" s="52"/>
      <c r="L70" s="24" t="s">
        <v>256</v>
      </c>
    </row>
    <row r="71" customFormat="false" ht="15.75" hidden="false" customHeight="true" outlineLevel="0" collapsed="false">
      <c r="B71" s="1" t="s">
        <v>257</v>
      </c>
      <c r="E71" s="53" t="n">
        <f aca="false">E51/'Допущения A'!C8</f>
        <v>2.27546666666667</v>
      </c>
      <c r="L71" s="1" t="s">
        <v>258</v>
      </c>
    </row>
    <row r="72" customFormat="false" ht="15.75" hidden="false" customHeight="true" outlineLevel="0" collapsed="false">
      <c r="B72" s="54" t="s">
        <v>259</v>
      </c>
      <c r="C72" s="54"/>
      <c r="D72" s="54"/>
      <c r="E72" s="54" t="n">
        <f aca="false">F51/'Допущения A'!D8</f>
        <v>1.36365651980702</v>
      </c>
      <c r="F72" s="54"/>
      <c r="G72" s="54"/>
      <c r="H72" s="54"/>
      <c r="I72" s="54"/>
      <c r="J72" s="54"/>
      <c r="K72" s="54"/>
      <c r="L72" s="54" t="s">
        <v>260</v>
      </c>
    </row>
    <row r="73" customFormat="false" ht="15" hidden="false" customHeight="true" outlineLevel="0" collapsed="false">
      <c r="B73" s="55" t="s">
        <v>261</v>
      </c>
      <c r="C73" s="55"/>
      <c r="D73" s="55"/>
      <c r="E73" s="55" t="n">
        <f aca="false">(E51-E32*(1+'Допущения A'!$C$17))/'Допущения A'!C8</f>
        <v>1.53141666666667</v>
      </c>
      <c r="F73" s="55"/>
      <c r="G73" s="55"/>
      <c r="H73" s="55"/>
      <c r="I73" s="55"/>
      <c r="J73" s="55"/>
      <c r="K73" s="55"/>
      <c r="L73" s="55" t="s">
        <v>262</v>
      </c>
    </row>
    <row r="74" customFormat="false" ht="15.75" hidden="false" customHeight="true" outlineLevel="0" collapsed="false">
      <c r="B74" s="55" t="s">
        <v>263</v>
      </c>
      <c r="C74" s="55"/>
      <c r="D74" s="55"/>
      <c r="E74" s="55" t="n">
        <f aca="false">(F51-F32*(1+'Допущения A'!$C$17))/'Допущения A'!D8</f>
        <v>0.593156519807019</v>
      </c>
      <c r="F74" s="55"/>
      <c r="G74" s="55"/>
      <c r="H74" s="55"/>
      <c r="I74" s="55"/>
      <c r="J74" s="55"/>
      <c r="K74" s="55"/>
      <c r="L74" s="55"/>
    </row>
    <row r="75" customFormat="false" ht="15.75" hidden="false" customHeight="true" outlineLevel="0" collapsed="false">
      <c r="B75" s="55" t="s">
        <v>264</v>
      </c>
      <c r="C75" s="55"/>
      <c r="D75" s="55"/>
      <c r="E75" s="55" t="n">
        <f aca="false">(J15+J24+J40+J48)*(1+'Допущения A'!$C$17)</f>
        <v>11353133.7934872</v>
      </c>
      <c r="F75" s="55"/>
      <c r="G75" s="55"/>
      <c r="H75" s="55"/>
      <c r="I75" s="55"/>
      <c r="J75" s="55"/>
      <c r="K75" s="55"/>
      <c r="L75" s="55" t="s">
        <v>265</v>
      </c>
    </row>
    <row r="76" customFormat="false" ht="15.75" hidden="false" customHeight="true" outlineLevel="0" collapsed="false"/>
    <row r="77" customFormat="false" ht="15.75" hidden="false" customHeight="true" outlineLevel="0" collapsed="false">
      <c r="B77" s="8" t="s">
        <v>266</v>
      </c>
    </row>
    <row r="78" customFormat="false" ht="15.75" hidden="false" customHeight="true" outlineLevel="0" collapsed="false">
      <c r="B78" s="56" t="s">
        <v>267</v>
      </c>
      <c r="C78" s="56"/>
      <c r="D78" s="56"/>
      <c r="E78" s="56"/>
      <c r="F78" s="56"/>
      <c r="G78" s="56"/>
      <c r="H78" s="56"/>
      <c r="I78" s="56"/>
      <c r="J78" s="56"/>
      <c r="K78" s="56"/>
      <c r="L78" s="56"/>
    </row>
    <row r="79" customFormat="false" ht="15.75" hidden="false" customHeight="true" outlineLevel="0" collapsed="false"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</row>
    <row r="80" customFormat="false" ht="15.75" hidden="false" customHeight="true" outlineLevel="0" collapsed="false"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</row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5"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B72:L72"/>
    <mergeCell ref="B73:L75"/>
    <mergeCell ref="B78:L80"/>
  </mergeCells>
  <dataValidations count="1">
    <dataValidation allowBlank="true" errorStyle="stop" operator="between" showDropDown="false" showErrorMessage="false" showInputMessage="false" sqref="C6:C51" type="list">
      <formula1>"фикс,инфляция,ФОТ,пользователи,заказы,GMV,масштаб"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000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7" min="3" style="1" width="15"/>
    <col collapsed="false" customWidth="true" hidden="false" outlineLevel="0" max="8" min="8" style="1" width="52"/>
    <col collapsed="false" customWidth="true" hidden="false" outlineLevel="0" max="26" min="9" style="1" width="8.71"/>
  </cols>
  <sheetData>
    <row r="2" customFormat="false" ht="17.35" hidden="false" customHeight="false" outlineLevel="0" collapsed="false">
      <c r="B2" s="2" t="s">
        <v>268</v>
      </c>
    </row>
    <row r="3" customFormat="false" ht="15" hidden="false" customHeight="false" outlineLevel="0" collapsed="false">
      <c r="B3" s="18" t="s">
        <v>102</v>
      </c>
    </row>
    <row r="5" customFormat="false" ht="15" hidden="false" customHeight="false" outlineLevel="0" collapsed="false">
      <c r="B5" s="19" t="s">
        <v>103</v>
      </c>
      <c r="C5" s="20"/>
      <c r="D5" s="20"/>
      <c r="E5" s="20"/>
      <c r="F5" s="20"/>
      <c r="G5" s="20"/>
      <c r="H5" s="20"/>
    </row>
    <row r="6" customFormat="false" ht="15" hidden="false" customHeight="false" outlineLevel="0" collapsed="false">
      <c r="B6" s="21" t="s">
        <v>104</v>
      </c>
      <c r="C6" s="21" t="s">
        <v>105</v>
      </c>
      <c r="D6" s="21" t="s">
        <v>106</v>
      </c>
      <c r="E6" s="21" t="s">
        <v>107</v>
      </c>
      <c r="F6" s="21" t="s">
        <v>108</v>
      </c>
      <c r="G6" s="21" t="s">
        <v>109</v>
      </c>
      <c r="H6" s="21" t="s">
        <v>110</v>
      </c>
    </row>
    <row r="7" customFormat="false" ht="15" hidden="false" customHeight="false" outlineLevel="0" collapsed="false">
      <c r="B7" s="22" t="s">
        <v>111</v>
      </c>
      <c r="C7" s="57" t="n">
        <f aca="false">'Допущения A'!C7</f>
        <v>400000</v>
      </c>
      <c r="D7" s="57" t="n">
        <f aca="false">'Допущения A'!D7</f>
        <v>1200000</v>
      </c>
      <c r="E7" s="57" t="n">
        <f aca="false">'Допущения A'!E7</f>
        <v>2500000</v>
      </c>
      <c r="F7" s="57" t="n">
        <f aca="false">'Допущения A'!F7</f>
        <v>4000000</v>
      </c>
      <c r="G7" s="57" t="n">
        <f aca="false">'Допущения A'!G7</f>
        <v>6000000</v>
      </c>
      <c r="H7" s="24" t="s">
        <v>269</v>
      </c>
    </row>
    <row r="8" customFormat="false" ht="15" hidden="false" customHeight="false" outlineLevel="0" collapsed="false">
      <c r="B8" s="22" t="s">
        <v>113</v>
      </c>
      <c r="C8" s="57" t="n">
        <f aca="false">'Допущения A'!C8</f>
        <v>600000</v>
      </c>
      <c r="D8" s="57" t="n">
        <f aca="false">'Допущения A'!D8</f>
        <v>2400000</v>
      </c>
      <c r="E8" s="57" t="n">
        <f aca="false">'Допущения A'!E8</f>
        <v>6000000</v>
      </c>
      <c r="F8" s="57" t="n">
        <f aca="false">'Допущения A'!F8</f>
        <v>11000000</v>
      </c>
      <c r="G8" s="57" t="n">
        <f aca="false">'Допущения A'!G8</f>
        <v>18000000</v>
      </c>
      <c r="H8" s="24" t="s">
        <v>269</v>
      </c>
    </row>
    <row r="9" customFormat="false" ht="15" hidden="false" customHeight="false" outlineLevel="0" collapsed="false">
      <c r="B9" s="22" t="s">
        <v>115</v>
      </c>
      <c r="C9" s="58" t="n">
        <f aca="false">'Допущения A'!C9</f>
        <v>20</v>
      </c>
      <c r="D9" s="58" t="n">
        <f aca="false">'Допущения A'!D9</f>
        <v>21</v>
      </c>
      <c r="E9" s="58" t="n">
        <f aca="false">'Допущения A'!E9</f>
        <v>22</v>
      </c>
      <c r="F9" s="58" t="n">
        <f aca="false">'Допущения A'!F9</f>
        <v>23</v>
      </c>
      <c r="G9" s="58" t="n">
        <f aca="false">'Допущения A'!G9</f>
        <v>24</v>
      </c>
      <c r="H9" s="24" t="s">
        <v>269</v>
      </c>
    </row>
    <row r="10" customFormat="false" ht="15" hidden="false" customHeight="false" outlineLevel="0" collapsed="false">
      <c r="B10" s="26" t="s">
        <v>117</v>
      </c>
      <c r="C10" s="27" t="n">
        <f aca="false">C8*C9</f>
        <v>12000000</v>
      </c>
      <c r="D10" s="27" t="n">
        <f aca="false">D8*D9</f>
        <v>50400000</v>
      </c>
      <c r="E10" s="27" t="n">
        <f aca="false">E8*E9</f>
        <v>132000000</v>
      </c>
      <c r="F10" s="27" t="n">
        <f aca="false">F8*F9</f>
        <v>253000000</v>
      </c>
      <c r="G10" s="27" t="n">
        <f aca="false">G8*G9</f>
        <v>432000000</v>
      </c>
      <c r="H10" s="24" t="s">
        <v>118</v>
      </c>
    </row>
    <row r="12" customFormat="false" ht="15" hidden="false" customHeight="false" outlineLevel="0" collapsed="false">
      <c r="B12" s="19" t="s">
        <v>119</v>
      </c>
      <c r="C12" s="20"/>
      <c r="D12" s="20"/>
      <c r="E12" s="20"/>
      <c r="F12" s="20"/>
      <c r="G12" s="20"/>
      <c r="H12" s="20"/>
    </row>
    <row r="13" customFormat="false" ht="15" hidden="false" customHeight="false" outlineLevel="0" collapsed="false">
      <c r="B13" s="21" t="s">
        <v>120</v>
      </c>
      <c r="C13" s="21" t="s">
        <v>121</v>
      </c>
      <c r="D13" s="21"/>
      <c r="E13" s="21"/>
      <c r="F13" s="21"/>
      <c r="G13" s="21"/>
      <c r="H13" s="21" t="s">
        <v>110</v>
      </c>
    </row>
    <row r="14" customFormat="false" ht="15" hidden="false" customHeight="false" outlineLevel="0" collapsed="false">
      <c r="B14" s="22" t="s">
        <v>122</v>
      </c>
      <c r="C14" s="28" t="n">
        <v>0.08</v>
      </c>
      <c r="H14" s="24" t="s">
        <v>123</v>
      </c>
    </row>
    <row r="15" customFormat="false" ht="15" hidden="false" customHeight="false" outlineLevel="0" collapsed="false">
      <c r="B15" s="22" t="s">
        <v>124</v>
      </c>
      <c r="C15" s="28" t="n">
        <v>0.12</v>
      </c>
      <c r="H15" s="24" t="s">
        <v>125</v>
      </c>
    </row>
    <row r="16" customFormat="false" ht="15" hidden="false" customHeight="false" outlineLevel="0" collapsed="false">
      <c r="B16" s="22" t="s">
        <v>126</v>
      </c>
      <c r="C16" s="28" t="n">
        <v>0.2</v>
      </c>
      <c r="H16" s="24" t="s">
        <v>127</v>
      </c>
    </row>
    <row r="17" customFormat="false" ht="15" hidden="false" customHeight="false" outlineLevel="0" collapsed="false">
      <c r="B17" s="22" t="s">
        <v>128</v>
      </c>
      <c r="C17" s="28" t="n">
        <v>0.15</v>
      </c>
      <c r="H17" s="24" t="s">
        <v>129</v>
      </c>
    </row>
    <row r="18" customFormat="false" ht="22.35" hidden="false" customHeight="false" outlineLevel="0" collapsed="false">
      <c r="B18" s="22" t="s">
        <v>130</v>
      </c>
      <c r="C18" s="29" t="n">
        <v>5000</v>
      </c>
      <c r="H18" s="24" t="s">
        <v>131</v>
      </c>
    </row>
    <row r="19" customFormat="false" ht="22.35" hidden="false" customHeight="false" outlineLevel="0" collapsed="false">
      <c r="B19" s="22" t="s">
        <v>132</v>
      </c>
      <c r="C19" s="29" t="n">
        <v>12000</v>
      </c>
      <c r="H19" s="24" t="s">
        <v>133</v>
      </c>
    </row>
    <row r="20" customFormat="false" ht="15" hidden="false" customHeight="false" outlineLevel="0" collapsed="false">
      <c r="B20" s="22" t="s">
        <v>134</v>
      </c>
      <c r="C20" s="30" t="n">
        <v>0.9995</v>
      </c>
      <c r="H20" s="24" t="s">
        <v>270</v>
      </c>
    </row>
    <row r="21" customFormat="false" ht="15.75" hidden="false" customHeight="true" outlineLevel="0" collapsed="false">
      <c r="B21" s="22" t="s">
        <v>136</v>
      </c>
      <c r="C21" s="31" t="n">
        <v>1</v>
      </c>
      <c r="H21" s="24" t="s">
        <v>137</v>
      </c>
    </row>
    <row r="22" customFormat="false" ht="15.75" hidden="false" customHeight="true" outlineLevel="0" collapsed="false">
      <c r="B22" s="1" t="s">
        <v>138</v>
      </c>
      <c r="C22" s="32" t="n">
        <v>5</v>
      </c>
      <c r="H22" s="1" t="s">
        <v>139</v>
      </c>
    </row>
    <row r="23" customFormat="false" ht="15.75" hidden="false" customHeight="true" outlineLevel="0" collapsed="false">
      <c r="B23" s="19" t="s">
        <v>140</v>
      </c>
      <c r="C23" s="20"/>
      <c r="D23" s="20"/>
      <c r="E23" s="20"/>
      <c r="F23" s="20"/>
      <c r="G23" s="20"/>
      <c r="H23" s="20"/>
    </row>
    <row r="24" customFormat="false" ht="15.75" hidden="false" customHeight="true" outlineLevel="0" collapsed="false">
      <c r="B24" s="21" t="s">
        <v>141</v>
      </c>
      <c r="C24" s="21" t="s">
        <v>105</v>
      </c>
      <c r="D24" s="21" t="s">
        <v>106</v>
      </c>
      <c r="E24" s="21" t="s">
        <v>107</v>
      </c>
      <c r="F24" s="21" t="s">
        <v>108</v>
      </c>
      <c r="G24" s="21" t="s">
        <v>109</v>
      </c>
      <c r="H24" s="21" t="s">
        <v>142</v>
      </c>
    </row>
    <row r="25" customFormat="false" ht="15.75" hidden="false" customHeight="true" outlineLevel="0" collapsed="false">
      <c r="B25" s="22" t="s">
        <v>143</v>
      </c>
      <c r="C25" s="33" t="n">
        <v>1</v>
      </c>
      <c r="D25" s="33" t="n">
        <v>1</v>
      </c>
      <c r="E25" s="33" t="n">
        <v>1</v>
      </c>
      <c r="F25" s="33" t="n">
        <v>1</v>
      </c>
      <c r="G25" s="33" t="n">
        <v>1</v>
      </c>
      <c r="H25" s="24" t="s">
        <v>144</v>
      </c>
    </row>
    <row r="26" customFormat="false" ht="15.75" hidden="false" customHeight="true" outlineLevel="0" collapsed="false">
      <c r="B26" s="22" t="s">
        <v>145</v>
      </c>
      <c r="C26" s="33" t="n">
        <v>1</v>
      </c>
      <c r="D26" s="33" t="n">
        <f aca="false">C26*(1+$C$14)</f>
        <v>1.08</v>
      </c>
      <c r="E26" s="33" t="n">
        <f aca="false">D26*(1+$C$14)</f>
        <v>1.1664</v>
      </c>
      <c r="F26" s="33" t="n">
        <f aca="false">E26*(1+$C$14)</f>
        <v>1.259712</v>
      </c>
      <c r="G26" s="33" t="n">
        <f aca="false">F26*(1+$C$14)</f>
        <v>1.36048896</v>
      </c>
      <c r="H26" s="24" t="s">
        <v>146</v>
      </c>
    </row>
    <row r="27" customFormat="false" ht="15.75" hidden="false" customHeight="true" outlineLevel="0" collapsed="false">
      <c r="B27" s="22" t="s">
        <v>147</v>
      </c>
      <c r="C27" s="33" t="n">
        <v>1</v>
      </c>
      <c r="D27" s="33" t="n">
        <f aca="false">C27*(1+$C$15)</f>
        <v>1.12</v>
      </c>
      <c r="E27" s="33" t="n">
        <f aca="false">D27*(1+$C$15)</f>
        <v>1.2544</v>
      </c>
      <c r="F27" s="33" t="n">
        <f aca="false">E27*(1+$C$15)</f>
        <v>1.404928</v>
      </c>
      <c r="G27" s="33" t="n">
        <f aca="false">F27*(1+$C$15)</f>
        <v>1.57351936</v>
      </c>
      <c r="H27" s="24" t="s">
        <v>148</v>
      </c>
    </row>
    <row r="28" customFormat="false" ht="15.75" hidden="false" customHeight="true" outlineLevel="0" collapsed="false">
      <c r="B28" s="22" t="s">
        <v>149</v>
      </c>
      <c r="C28" s="33" t="n">
        <f aca="false">C7/$C$7</f>
        <v>1</v>
      </c>
      <c r="D28" s="33" t="n">
        <f aca="false">D7/$C$7</f>
        <v>3</v>
      </c>
      <c r="E28" s="33" t="n">
        <f aca="false">E7/$C$7</f>
        <v>6.25</v>
      </c>
      <c r="F28" s="33" t="n">
        <f aca="false">F7/$C$7</f>
        <v>10</v>
      </c>
      <c r="G28" s="33" t="n">
        <f aca="false">G7/$C$7</f>
        <v>15</v>
      </c>
      <c r="H28" s="24" t="s">
        <v>150</v>
      </c>
    </row>
    <row r="29" customFormat="false" ht="15.75" hidden="false" customHeight="true" outlineLevel="0" collapsed="false">
      <c r="B29" s="22" t="s">
        <v>151</v>
      </c>
      <c r="C29" s="33" t="n">
        <f aca="false">C8/$C$8</f>
        <v>1</v>
      </c>
      <c r="D29" s="33" t="n">
        <f aca="false">D8/$C$8</f>
        <v>4</v>
      </c>
      <c r="E29" s="33" t="n">
        <f aca="false">E8/$C$8</f>
        <v>10</v>
      </c>
      <c r="F29" s="33" t="n">
        <f aca="false">F8/$C$8</f>
        <v>18.3333333333333</v>
      </c>
      <c r="G29" s="33" t="n">
        <f aca="false">G8/$C$8</f>
        <v>30</v>
      </c>
      <c r="H29" s="24" t="s">
        <v>152</v>
      </c>
    </row>
    <row r="30" customFormat="false" ht="15.75" hidden="false" customHeight="true" outlineLevel="0" collapsed="false">
      <c r="B30" s="22" t="s">
        <v>153</v>
      </c>
      <c r="C30" s="33" t="n">
        <f aca="false">C10/$C$10</f>
        <v>1</v>
      </c>
      <c r="D30" s="33" t="n">
        <f aca="false">D10/$C$10</f>
        <v>4.2</v>
      </c>
      <c r="E30" s="33" t="n">
        <f aca="false">E10/$C$10</f>
        <v>11</v>
      </c>
      <c r="F30" s="33" t="n">
        <f aca="false">F10/$C$10</f>
        <v>21.0833333333333</v>
      </c>
      <c r="G30" s="33" t="n">
        <f aca="false">G10/$C$10</f>
        <v>36</v>
      </c>
      <c r="H30" s="24" t="s">
        <v>154</v>
      </c>
    </row>
    <row r="31" customFormat="false" ht="15.75" hidden="false" customHeight="true" outlineLevel="0" collapsed="false">
      <c r="B31" s="1" t="s">
        <v>155</v>
      </c>
      <c r="C31" s="1" t="n">
        <f aca="false">(C7/$C$7)^0.7</f>
        <v>1</v>
      </c>
      <c r="D31" s="1" t="n">
        <f aca="false">(D7/$C$7)^0.7</f>
        <v>2.15766927997459</v>
      </c>
      <c r="E31" s="1" t="n">
        <f aca="false">(E7/$C$7)^0.7</f>
        <v>3.60674976476803</v>
      </c>
      <c r="F31" s="1" t="n">
        <f aca="false">(F7/$C$7)^0.7</f>
        <v>5.01187233627272</v>
      </c>
      <c r="G31" s="1" t="n">
        <f aca="false">(G7/$C$7)^0.7</f>
        <v>6.65677505147513</v>
      </c>
      <c r="H31" s="1" t="s">
        <v>156</v>
      </c>
    </row>
    <row r="32" customFormat="false" ht="15" hidden="false" customHeight="true" outlineLevel="0" collapsed="false">
      <c r="B32" s="34" t="s">
        <v>157</v>
      </c>
      <c r="C32" s="34"/>
      <c r="D32" s="34"/>
      <c r="E32" s="34"/>
      <c r="F32" s="34"/>
      <c r="G32" s="34"/>
      <c r="H32" s="34"/>
    </row>
    <row r="33" customFormat="false" ht="15.75" hidden="false" customHeight="true" outlineLevel="0" collapsed="false">
      <c r="B33" s="34" t="s">
        <v>158</v>
      </c>
      <c r="C33" s="34"/>
      <c r="D33" s="34"/>
      <c r="E33" s="34"/>
      <c r="F33" s="34"/>
      <c r="G33" s="34"/>
      <c r="H33" s="34"/>
    </row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B32:H33"/>
  </mergeCells>
  <dataValidations count="1">
    <dataValidation allowBlank="false" errorStyle="stop" operator="between" showDropDown="false" showErrorMessage="false" showInputMessage="false" sqref="C21" type="list">
      <formula1>"0,1"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000"/>
  <sheetViews>
    <sheetView showFormulas="false" showGridLines="true" showRowColHeaders="true" showZeros="true" rightToLeft="false" tabSelected="false" showOutlineSymbols="true" defaultGridColor="true" view="normal" topLeftCell="A67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4"/>
    <col collapsed="false" customWidth="true" hidden="false" outlineLevel="0" max="3" min="3" style="1" width="16"/>
    <col collapsed="false" customWidth="true" hidden="false" outlineLevel="0" max="4" min="4" style="1" width="15"/>
    <col collapsed="false" customWidth="true" hidden="false" outlineLevel="0" max="10" min="5" style="1" width="14"/>
    <col collapsed="false" customWidth="true" hidden="false" outlineLevel="0" max="11" min="11" style="1" width="10"/>
    <col collapsed="false" customWidth="true" hidden="false" outlineLevel="0" max="12" min="12" style="1" width="46"/>
    <col collapsed="false" customWidth="true" hidden="false" outlineLevel="0" max="26" min="13" style="1" width="8.71"/>
  </cols>
  <sheetData>
    <row r="2" customFormat="false" ht="17.35" hidden="false" customHeight="false" outlineLevel="0" collapsed="false">
      <c r="B2" s="2" t="s">
        <v>271</v>
      </c>
    </row>
    <row r="3" customFormat="false" ht="15" hidden="false" customHeight="false" outlineLevel="0" collapsed="false">
      <c r="B3" s="18" t="s">
        <v>160</v>
      </c>
    </row>
    <row r="5" customFormat="false" ht="31.5" hidden="false" customHeight="true" outlineLevel="0" collapsed="false">
      <c r="B5" s="21" t="s">
        <v>161</v>
      </c>
      <c r="C5" s="21" t="s">
        <v>162</v>
      </c>
      <c r="D5" s="21" t="s">
        <v>163</v>
      </c>
      <c r="E5" s="21" t="s">
        <v>105</v>
      </c>
      <c r="F5" s="21" t="s">
        <v>106</v>
      </c>
      <c r="G5" s="21" t="s">
        <v>107</v>
      </c>
      <c r="H5" s="21" t="s">
        <v>108</v>
      </c>
      <c r="I5" s="21" t="s">
        <v>109</v>
      </c>
      <c r="J5" s="21" t="s">
        <v>164</v>
      </c>
      <c r="K5" s="21" t="s">
        <v>165</v>
      </c>
      <c r="L5" s="21" t="s">
        <v>110</v>
      </c>
    </row>
    <row r="6" customFormat="false" ht="15" hidden="false" customHeight="false" outlineLevel="0" collapsed="false">
      <c r="B6" s="19" t="s">
        <v>166</v>
      </c>
      <c r="C6" s="20"/>
      <c r="D6" s="20"/>
      <c r="E6" s="20"/>
      <c r="F6" s="20"/>
      <c r="G6" s="20"/>
      <c r="H6" s="20"/>
      <c r="I6" s="20"/>
      <c r="J6" s="20"/>
      <c r="K6" s="20"/>
      <c r="L6" s="20"/>
    </row>
    <row r="7" customFormat="false" ht="15" hidden="false" customHeight="false" outlineLevel="0" collapsed="false">
      <c r="B7" s="22" t="s">
        <v>167</v>
      </c>
      <c r="C7" s="35" t="s">
        <v>155</v>
      </c>
      <c r="D7" s="36" t="n">
        <v>24000</v>
      </c>
      <c r="E7" s="37" t="n">
        <f aca="false">IF($D7="","",$D7*INDEX('Допущения B'!$C$25:$G$31,MATCH($C7,'Допущения B'!$B$25:$B$31,0),1))</f>
        <v>24000</v>
      </c>
      <c r="F7" s="37" t="n">
        <f aca="false">IF($D7="","",$D7*INDEX('Допущения B'!$C$25:$G$31,MATCH($C7,'Допущения B'!$B$25:$B$31,0),2))</f>
        <v>51784.0627193902</v>
      </c>
      <c r="G7" s="37" t="n">
        <f aca="false">IF($D7="","",$D7*INDEX('Допущения B'!$C$25:$G$31,MATCH($C7,'Допущения B'!$B$25:$B$31,0),3))</f>
        <v>86561.9943544328</v>
      </c>
      <c r="H7" s="37" t="n">
        <f aca="false">IF($D7="","",$D7*INDEX('Допущения B'!$C$25:$G$31,MATCH($C7,'Допущения B'!$B$25:$B$31,0),4))</f>
        <v>120284.936070545</v>
      </c>
      <c r="I7" s="37" t="n">
        <f aca="false">IF($D7="","",$D7*INDEX('Допущения B'!$C$25:$G$31,MATCH($C7,'Допущения B'!$B$25:$B$31,0),5))</f>
        <v>159762.601235403</v>
      </c>
      <c r="J7" s="37" t="n">
        <f aca="false">SUM(E7:I7)</f>
        <v>442393.594379771</v>
      </c>
      <c r="K7" s="38"/>
      <c r="L7" s="39" t="s">
        <v>272</v>
      </c>
    </row>
    <row r="8" customFormat="false" ht="15" hidden="false" customHeight="false" outlineLevel="0" collapsed="false">
      <c r="B8" s="22" t="s">
        <v>169</v>
      </c>
      <c r="C8" s="35" t="s">
        <v>155</v>
      </c>
      <c r="D8" s="36" t="n">
        <v>18000</v>
      </c>
      <c r="E8" s="37" t="n">
        <f aca="false">IF($D8="","",$D8*INDEX('Допущения B'!$C$25:$G$31,MATCH($C8,'Допущения B'!$B$25:$B$31,0),1))</f>
        <v>18000</v>
      </c>
      <c r="F8" s="37" t="n">
        <f aca="false">IF($D8="","",$D8*INDEX('Допущения B'!$C$25:$G$31,MATCH($C8,'Допущения B'!$B$25:$B$31,0),2))</f>
        <v>38838.0470395427</v>
      </c>
      <c r="G8" s="37" t="n">
        <f aca="false">IF($D8="","",$D8*INDEX('Допущения B'!$C$25:$G$31,MATCH($C8,'Допущения B'!$B$25:$B$31,0),3))</f>
        <v>64921.4957658246</v>
      </c>
      <c r="H8" s="37" t="n">
        <f aca="false">IF($D8="","",$D8*INDEX('Допущения B'!$C$25:$G$31,MATCH($C8,'Допущения B'!$B$25:$B$31,0),4))</f>
        <v>90213.702052909</v>
      </c>
      <c r="I8" s="37" t="n">
        <f aca="false">IF($D8="","",$D8*INDEX('Допущения B'!$C$25:$G$31,MATCH($C8,'Допущения B'!$B$25:$B$31,0),5))</f>
        <v>119821.950926552</v>
      </c>
      <c r="J8" s="37" t="n">
        <f aca="false">SUM(E8:I8)</f>
        <v>331795.195784829</v>
      </c>
      <c r="K8" s="38"/>
      <c r="L8" s="39" t="s">
        <v>273</v>
      </c>
    </row>
    <row r="9" customFormat="false" ht="15" hidden="false" customHeight="false" outlineLevel="0" collapsed="false">
      <c r="B9" s="22" t="s">
        <v>171</v>
      </c>
      <c r="C9" s="35" t="s">
        <v>149</v>
      </c>
      <c r="D9" s="36" t="n">
        <v>2400</v>
      </c>
      <c r="E9" s="37" t="n">
        <f aca="false">IF($D9="","",$D9*INDEX('Допущения B'!$C$25:$G$31,MATCH($C9,'Допущения B'!$B$25:$B$31,0),1))</f>
        <v>2400</v>
      </c>
      <c r="F9" s="37" t="n">
        <f aca="false">IF($D9="","",$D9*INDEX('Допущения B'!$C$25:$G$31,MATCH($C9,'Допущения B'!$B$25:$B$31,0),2))</f>
        <v>7200</v>
      </c>
      <c r="G9" s="37" t="n">
        <f aca="false">IF($D9="","",$D9*INDEX('Допущения B'!$C$25:$G$31,MATCH($C9,'Допущения B'!$B$25:$B$31,0),3))</f>
        <v>15000</v>
      </c>
      <c r="H9" s="37" t="n">
        <f aca="false">IF($D9="","",$D9*INDEX('Допущения B'!$C$25:$G$31,MATCH($C9,'Допущения B'!$B$25:$B$31,0),4))</f>
        <v>24000</v>
      </c>
      <c r="I9" s="37" t="n">
        <f aca="false">IF($D9="","",$D9*INDEX('Допущения B'!$C$25:$G$31,MATCH($C9,'Допущения B'!$B$25:$B$31,0),5))</f>
        <v>36000</v>
      </c>
      <c r="J9" s="37" t="n">
        <f aca="false">SUM(E9:I9)</f>
        <v>84600</v>
      </c>
      <c r="K9" s="38"/>
      <c r="L9" s="39" t="s">
        <v>274</v>
      </c>
    </row>
    <row r="10" customFormat="false" ht="15" hidden="false" customHeight="false" outlineLevel="0" collapsed="false">
      <c r="B10" s="22" t="s">
        <v>173</v>
      </c>
      <c r="C10" s="35" t="s">
        <v>149</v>
      </c>
      <c r="D10" s="36" t="n">
        <v>6000</v>
      </c>
      <c r="E10" s="37" t="n">
        <f aca="false">IF($D10="","",$D10*INDEX('Допущения B'!$C$25:$G$31,MATCH($C10,'Допущения B'!$B$25:$B$31,0),1))</f>
        <v>6000</v>
      </c>
      <c r="F10" s="37" t="n">
        <f aca="false">IF($D10="","",$D10*INDEX('Допущения B'!$C$25:$G$31,MATCH($C10,'Допущения B'!$B$25:$B$31,0),2))</f>
        <v>18000</v>
      </c>
      <c r="G10" s="37" t="n">
        <f aca="false">IF($D10="","",$D10*INDEX('Допущения B'!$C$25:$G$31,MATCH($C10,'Допущения B'!$B$25:$B$31,0),3))</f>
        <v>37500</v>
      </c>
      <c r="H10" s="37" t="n">
        <f aca="false">IF($D10="","",$D10*INDEX('Допущения B'!$C$25:$G$31,MATCH($C10,'Допущения B'!$B$25:$B$31,0),4))</f>
        <v>60000</v>
      </c>
      <c r="I10" s="37" t="n">
        <f aca="false">IF($D10="","",$D10*INDEX('Допущения B'!$C$25:$G$31,MATCH($C10,'Допущения B'!$B$25:$B$31,0),5))</f>
        <v>90000</v>
      </c>
      <c r="J10" s="37" t="n">
        <f aca="false">SUM(E10:I10)</f>
        <v>211500</v>
      </c>
      <c r="K10" s="38"/>
      <c r="L10" s="39" t="s">
        <v>274</v>
      </c>
    </row>
    <row r="11" customFormat="false" ht="15" hidden="false" customHeight="false" outlineLevel="0" collapsed="false">
      <c r="B11" s="22" t="s">
        <v>175</v>
      </c>
      <c r="C11" s="35" t="s">
        <v>155</v>
      </c>
      <c r="D11" s="36" t="n">
        <v>9600</v>
      </c>
      <c r="E11" s="37" t="n">
        <f aca="false">IF($D11="","",$D11*INDEX('Допущения B'!$C$25:$G$31,MATCH($C11,'Допущения B'!$B$25:$B$31,0),1))</f>
        <v>9600</v>
      </c>
      <c r="F11" s="37" t="n">
        <f aca="false">IF($D11="","",$D11*INDEX('Допущения B'!$C$25:$G$31,MATCH($C11,'Допущения B'!$B$25:$B$31,0),2))</f>
        <v>20713.6250877561</v>
      </c>
      <c r="G11" s="37" t="n">
        <f aca="false">IF($D11="","",$D11*INDEX('Допущения B'!$C$25:$G$31,MATCH($C11,'Допущения B'!$B$25:$B$31,0),3))</f>
        <v>34624.7977417731</v>
      </c>
      <c r="H11" s="37" t="n">
        <f aca="false">IF($D11="","",$D11*INDEX('Допущения B'!$C$25:$G$31,MATCH($C11,'Допущения B'!$B$25:$B$31,0),4))</f>
        <v>48113.9744282181</v>
      </c>
      <c r="I11" s="37" t="n">
        <f aca="false">IF($D11="","",$D11*INDEX('Допущения B'!$C$25:$G$31,MATCH($C11,'Допущения B'!$B$25:$B$31,0),5))</f>
        <v>63905.0404941612</v>
      </c>
      <c r="J11" s="37" t="n">
        <f aca="false">SUM(E11:I11)</f>
        <v>176957.437751909</v>
      </c>
      <c r="K11" s="38"/>
      <c r="L11" s="39" t="s">
        <v>275</v>
      </c>
    </row>
    <row r="12" customFormat="false" ht="15" hidden="false" customHeight="false" outlineLevel="0" collapsed="false">
      <c r="B12" s="22" t="s">
        <v>177</v>
      </c>
      <c r="C12" s="35" t="s">
        <v>145</v>
      </c>
      <c r="D12" s="36" t="n">
        <v>18000</v>
      </c>
      <c r="E12" s="37" t="n">
        <f aca="false">IF($D12="","",$D12*INDEX('Допущения B'!$C$25:$G$31,MATCH($C12,'Допущения B'!$B$25:$B$31,0),1))</f>
        <v>18000</v>
      </c>
      <c r="F12" s="37" t="n">
        <f aca="false">IF($D12="","",$D12*INDEX('Допущения B'!$C$25:$G$31,MATCH($C12,'Допущения B'!$B$25:$B$31,0),2))</f>
        <v>19440</v>
      </c>
      <c r="G12" s="37" t="n">
        <f aca="false">IF($D12="","",$D12*INDEX('Допущения B'!$C$25:$G$31,MATCH($C12,'Допущения B'!$B$25:$B$31,0),3))</f>
        <v>20995.2</v>
      </c>
      <c r="H12" s="37" t="n">
        <f aca="false">IF($D12="","",$D12*INDEX('Допущения B'!$C$25:$G$31,MATCH($C12,'Допущения B'!$B$25:$B$31,0),4))</f>
        <v>22674.816</v>
      </c>
      <c r="I12" s="37" t="n">
        <f aca="false">IF($D12="","",$D12*INDEX('Допущения B'!$C$25:$G$31,MATCH($C12,'Допущения B'!$B$25:$B$31,0),5))</f>
        <v>24488.80128</v>
      </c>
      <c r="J12" s="37" t="n">
        <f aca="false">SUM(E12:I12)</f>
        <v>105598.81728</v>
      </c>
      <c r="K12" s="38"/>
      <c r="L12" s="39" t="s">
        <v>276</v>
      </c>
    </row>
    <row r="13" customFormat="false" ht="15" hidden="false" customHeight="false" outlineLevel="0" collapsed="false">
      <c r="B13" s="22" t="s">
        <v>179</v>
      </c>
      <c r="C13" s="35" t="s">
        <v>145</v>
      </c>
      <c r="D13" s="36" t="n">
        <v>12000</v>
      </c>
      <c r="E13" s="37" t="n">
        <f aca="false">IF($D13="","",$D13*INDEX('Допущения B'!$C$25:$G$31,MATCH($C13,'Допущения B'!$B$25:$B$31,0),1))</f>
        <v>12000</v>
      </c>
      <c r="F13" s="37" t="n">
        <f aca="false">IF($D13="","",$D13*INDEX('Допущения B'!$C$25:$G$31,MATCH($C13,'Допущения B'!$B$25:$B$31,0),2))</f>
        <v>12960</v>
      </c>
      <c r="G13" s="37" t="n">
        <f aca="false">IF($D13="","",$D13*INDEX('Допущения B'!$C$25:$G$31,MATCH($C13,'Допущения B'!$B$25:$B$31,0),3))</f>
        <v>13996.8</v>
      </c>
      <c r="H13" s="37" t="n">
        <f aca="false">IF($D13="","",$D13*INDEX('Допущения B'!$C$25:$G$31,MATCH($C13,'Допущения B'!$B$25:$B$31,0),4))</f>
        <v>15116.544</v>
      </c>
      <c r="I13" s="37" t="n">
        <f aca="false">IF($D13="","",$D13*INDEX('Допущения B'!$C$25:$G$31,MATCH($C13,'Допущения B'!$B$25:$B$31,0),5))</f>
        <v>16325.86752</v>
      </c>
      <c r="J13" s="37" t="n">
        <f aca="false">SUM(E13:I13)</f>
        <v>70399.21152</v>
      </c>
      <c r="K13" s="38"/>
      <c r="L13" s="39" t="s">
        <v>274</v>
      </c>
    </row>
    <row r="14" customFormat="false" ht="15" hidden="false" customHeight="false" outlineLevel="0" collapsed="false">
      <c r="B14" s="22"/>
      <c r="C14" s="40" t="s">
        <v>143</v>
      </c>
      <c r="D14" s="29"/>
      <c r="E14" s="37" t="str">
        <f aca="false">IF($D14="","",$D14*INDEX('Допущения B'!$C$25:$G$31,MATCH($C14,'Допущения B'!$B$25:$B$31,0),1))</f>
        <v/>
      </c>
      <c r="F14" s="37" t="str">
        <f aca="false">IF($D14="","",$D14*INDEX('Допущения B'!$C$25:$G$31,MATCH($C14,'Допущения B'!$B$25:$B$31,0),2))</f>
        <v/>
      </c>
      <c r="G14" s="37" t="str">
        <f aca="false">IF($D14="","",$D14*INDEX('Допущения B'!$C$25:$G$31,MATCH($C14,'Допущения B'!$B$25:$B$31,0),3))</f>
        <v/>
      </c>
      <c r="H14" s="37" t="str">
        <f aca="false">IF($D14="","",$D14*INDEX('Допущения B'!$C$25:$G$31,MATCH($C14,'Допущения B'!$B$25:$B$31,0),4))</f>
        <v/>
      </c>
      <c r="I14" s="37" t="str">
        <f aca="false">IF($D14="","",$D14*INDEX('Допущения B'!$C$25:$G$31,MATCH($C14,'Допущения B'!$B$25:$B$31,0),5))</f>
        <v/>
      </c>
      <c r="J14" s="37" t="n">
        <f aca="false">SUM(E14:I14)</f>
        <v>0</v>
      </c>
      <c r="K14" s="38"/>
      <c r="L14" s="39" t="s">
        <v>181</v>
      </c>
    </row>
    <row r="15" customFormat="false" ht="15" hidden="false" customHeight="false" outlineLevel="0" collapsed="false">
      <c r="B15" s="41" t="s">
        <v>182</v>
      </c>
      <c r="C15" s="42"/>
      <c r="D15" s="42"/>
      <c r="E15" s="43" t="n">
        <f aca="false">SUM(E7:E14)</f>
        <v>90000</v>
      </c>
      <c r="F15" s="43" t="n">
        <f aca="false">SUM(F7:F14)</f>
        <v>168935.734846689</v>
      </c>
      <c r="G15" s="43" t="n">
        <f aca="false">SUM(G7:G14)</f>
        <v>273600.287862031</v>
      </c>
      <c r="H15" s="43" t="n">
        <f aca="false">SUM(H7:H14)</f>
        <v>380403.972551672</v>
      </c>
      <c r="I15" s="43" t="n">
        <f aca="false">SUM(I7:I14)</f>
        <v>510304.261456117</v>
      </c>
      <c r="J15" s="43" t="n">
        <f aca="false">SUM(J7:J14)</f>
        <v>1423244.25671651</v>
      </c>
      <c r="K15" s="44" t="n">
        <f aca="false">IFERROR(J15/$J$51,0)</f>
        <v>0.031392324125139</v>
      </c>
      <c r="L15" s="42"/>
    </row>
    <row r="16" customFormat="false" ht="15" hidden="false" customHeight="false" outlineLevel="0" collapsed="false">
      <c r="C16" s="45"/>
    </row>
    <row r="17" customFormat="false" ht="15" hidden="false" customHeight="false" outlineLevel="0" collapsed="false">
      <c r="B17" s="19" t="s">
        <v>183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</row>
    <row r="18" customFormat="false" ht="15" hidden="false" customHeight="false" outlineLevel="0" collapsed="false">
      <c r="B18" s="22" t="s">
        <v>184</v>
      </c>
      <c r="C18" s="35" t="s">
        <v>155</v>
      </c>
      <c r="D18" s="36" t="n">
        <v>6000</v>
      </c>
      <c r="E18" s="37" t="n">
        <f aca="false">IF($D18="","",$D18*INDEX('Допущения B'!$C$25:$G$31,MATCH($C18,'Допущения B'!$B$25:$B$31,0),1))</f>
        <v>6000</v>
      </c>
      <c r="F18" s="37" t="n">
        <f aca="false">IF($D18="","",$D18*INDEX('Допущения B'!$C$25:$G$31,MATCH($C18,'Допущения B'!$B$25:$B$31,0),2))</f>
        <v>12946.0156798476</v>
      </c>
      <c r="G18" s="37" t="n">
        <f aca="false">IF($D18="","",$D18*INDEX('Допущения B'!$C$25:$G$31,MATCH($C18,'Допущения B'!$B$25:$B$31,0),3))</f>
        <v>21640.4985886082</v>
      </c>
      <c r="H18" s="37" t="n">
        <f aca="false">IF($D18="","",$D18*INDEX('Допущения B'!$C$25:$G$31,MATCH($C18,'Допущения B'!$B$25:$B$31,0),4))</f>
        <v>30071.2340176363</v>
      </c>
      <c r="I18" s="37" t="n">
        <f aca="false">IF($D18="","",$D18*INDEX('Допущения B'!$C$25:$G$31,MATCH($C18,'Допущения B'!$B$25:$B$31,0),5))</f>
        <v>39940.6503088508</v>
      </c>
      <c r="J18" s="37" t="n">
        <f aca="false">SUM(E18:I18)</f>
        <v>110598.398594943</v>
      </c>
      <c r="K18" s="38"/>
      <c r="L18" s="39" t="s">
        <v>277</v>
      </c>
    </row>
    <row r="19" customFormat="false" ht="15" hidden="false" customHeight="false" outlineLevel="0" collapsed="false">
      <c r="B19" s="22" t="s">
        <v>186</v>
      </c>
      <c r="C19" s="35" t="s">
        <v>145</v>
      </c>
      <c r="D19" s="36" t="n">
        <v>3000</v>
      </c>
      <c r="E19" s="37" t="n">
        <f aca="false">IF($D19="","",$D19*INDEX('Допущения B'!$C$25:$G$31,MATCH($C19,'Допущения B'!$B$25:$B$31,0),1))</f>
        <v>3000</v>
      </c>
      <c r="F19" s="37" t="n">
        <f aca="false">IF($D19="","",$D19*INDEX('Допущения B'!$C$25:$G$31,MATCH($C19,'Допущения B'!$B$25:$B$31,0),2))</f>
        <v>3240</v>
      </c>
      <c r="G19" s="37" t="n">
        <f aca="false">IF($D19="","",$D19*INDEX('Допущения B'!$C$25:$G$31,MATCH($C19,'Допущения B'!$B$25:$B$31,0),3))</f>
        <v>3499.2</v>
      </c>
      <c r="H19" s="37" t="n">
        <f aca="false">IF($D19="","",$D19*INDEX('Допущения B'!$C$25:$G$31,MATCH($C19,'Допущения B'!$B$25:$B$31,0),4))</f>
        <v>3779.136</v>
      </c>
      <c r="I19" s="37" t="n">
        <f aca="false">IF($D19="","",$D19*INDEX('Допущения B'!$C$25:$G$31,MATCH($C19,'Допущения B'!$B$25:$B$31,0),5))</f>
        <v>4081.46688</v>
      </c>
      <c r="J19" s="37" t="n">
        <f aca="false">SUM(E19:I19)</f>
        <v>17599.80288</v>
      </c>
      <c r="K19" s="38"/>
      <c r="L19" s="39" t="s">
        <v>278</v>
      </c>
    </row>
    <row r="20" customFormat="false" ht="15" hidden="false" customHeight="false" outlineLevel="0" collapsed="false">
      <c r="B20" s="22" t="s">
        <v>188</v>
      </c>
      <c r="C20" s="35" t="s">
        <v>149</v>
      </c>
      <c r="D20" s="36" t="n">
        <v>2400</v>
      </c>
      <c r="E20" s="37" t="n">
        <f aca="false">IF($D20="","",$D20*INDEX('Допущения B'!$C$25:$G$31,MATCH($C20,'Допущения B'!$B$25:$B$31,0),1))</f>
        <v>2400</v>
      </c>
      <c r="F20" s="37" t="n">
        <f aca="false">IF($D20="","",$D20*INDEX('Допущения B'!$C$25:$G$31,MATCH($C20,'Допущения B'!$B$25:$B$31,0),2))</f>
        <v>7200</v>
      </c>
      <c r="G20" s="37" t="n">
        <f aca="false">IF($D20="","",$D20*INDEX('Допущения B'!$C$25:$G$31,MATCH($C20,'Допущения B'!$B$25:$B$31,0),3))</f>
        <v>15000</v>
      </c>
      <c r="H20" s="37" t="n">
        <f aca="false">IF($D20="","",$D20*INDEX('Допущения B'!$C$25:$G$31,MATCH($C20,'Допущения B'!$B$25:$B$31,0),4))</f>
        <v>24000</v>
      </c>
      <c r="I20" s="37" t="n">
        <f aca="false">IF($D20="","",$D20*INDEX('Допущения B'!$C$25:$G$31,MATCH($C20,'Допущения B'!$B$25:$B$31,0),5))</f>
        <v>36000</v>
      </c>
      <c r="J20" s="37" t="n">
        <f aca="false">SUM(E20:I20)</f>
        <v>84600</v>
      </c>
      <c r="K20" s="38"/>
      <c r="L20" s="39" t="s">
        <v>274</v>
      </c>
    </row>
    <row r="21" customFormat="false" ht="15.75" hidden="false" customHeight="true" outlineLevel="0" collapsed="false">
      <c r="B21" s="22" t="s">
        <v>190</v>
      </c>
      <c r="C21" s="35" t="s">
        <v>145</v>
      </c>
      <c r="D21" s="36" t="n">
        <v>1200</v>
      </c>
      <c r="E21" s="37" t="n">
        <f aca="false">IF($D21="","",$D21*INDEX('Допущения B'!$C$25:$G$31,MATCH($C21,'Допущения B'!$B$25:$B$31,0),1))</f>
        <v>1200</v>
      </c>
      <c r="F21" s="37" t="n">
        <f aca="false">IF($D21="","",$D21*INDEX('Допущения B'!$C$25:$G$31,MATCH($C21,'Допущения B'!$B$25:$B$31,0),2))</f>
        <v>1296</v>
      </c>
      <c r="G21" s="37" t="n">
        <f aca="false">IF($D21="","",$D21*INDEX('Допущения B'!$C$25:$G$31,MATCH($C21,'Допущения B'!$B$25:$B$31,0),3))</f>
        <v>1399.68</v>
      </c>
      <c r="H21" s="37" t="n">
        <f aca="false">IF($D21="","",$D21*INDEX('Допущения B'!$C$25:$G$31,MATCH($C21,'Допущения B'!$B$25:$B$31,0),4))</f>
        <v>1511.6544</v>
      </c>
      <c r="I21" s="37" t="n">
        <f aca="false">IF($D21="","",$D21*INDEX('Допущения B'!$C$25:$G$31,MATCH($C21,'Допущения B'!$B$25:$B$31,0),5))</f>
        <v>1632.586752</v>
      </c>
      <c r="J21" s="37" t="n">
        <f aca="false">SUM(E21:I21)</f>
        <v>7039.921152</v>
      </c>
      <c r="K21" s="38"/>
      <c r="L21" s="39" t="s">
        <v>274</v>
      </c>
    </row>
    <row r="22" customFormat="false" ht="15.75" hidden="false" customHeight="true" outlineLevel="0" collapsed="false">
      <c r="B22" s="22" t="s">
        <v>192</v>
      </c>
      <c r="C22" s="35" t="s">
        <v>145</v>
      </c>
      <c r="D22" s="36" t="n">
        <v>1200</v>
      </c>
      <c r="E22" s="37" t="n">
        <f aca="false">IF($D22="","",$D22*INDEX('Допущения B'!$C$25:$G$31,MATCH($C22,'Допущения B'!$B$25:$B$31,0),1))</f>
        <v>1200</v>
      </c>
      <c r="F22" s="37" t="n">
        <f aca="false">IF($D22="","",$D22*INDEX('Допущения B'!$C$25:$G$31,MATCH($C22,'Допущения B'!$B$25:$B$31,0),2))</f>
        <v>1296</v>
      </c>
      <c r="G22" s="37" t="n">
        <f aca="false">IF($D22="","",$D22*INDEX('Допущения B'!$C$25:$G$31,MATCH($C22,'Допущения B'!$B$25:$B$31,0),3))</f>
        <v>1399.68</v>
      </c>
      <c r="H22" s="37" t="n">
        <f aca="false">IF($D22="","",$D22*INDEX('Допущения B'!$C$25:$G$31,MATCH($C22,'Допущения B'!$B$25:$B$31,0),4))</f>
        <v>1511.6544</v>
      </c>
      <c r="I22" s="37" t="n">
        <f aca="false">IF($D22="","",$D22*INDEX('Допущения B'!$C$25:$G$31,MATCH($C22,'Допущения B'!$B$25:$B$31,0),5))</f>
        <v>1632.586752</v>
      </c>
      <c r="J22" s="37" t="n">
        <f aca="false">SUM(E22:I22)</f>
        <v>7039.921152</v>
      </c>
      <c r="K22" s="38"/>
      <c r="L22" s="39" t="s">
        <v>274</v>
      </c>
    </row>
    <row r="23" customFormat="false" ht="15.75" hidden="false" customHeight="true" outlineLevel="0" collapsed="false">
      <c r="B23" s="22"/>
      <c r="C23" s="40" t="s">
        <v>143</v>
      </c>
      <c r="D23" s="29"/>
      <c r="E23" s="37" t="str">
        <f aca="false">IF($D23="","",$D23*INDEX('Допущения B'!$C$25:$G$31,MATCH($C23,'Допущения B'!$B$25:$B$31,0),1))</f>
        <v/>
      </c>
      <c r="F23" s="37" t="str">
        <f aca="false">IF($D23="","",$D23*INDEX('Допущения B'!$C$25:$G$31,MATCH($C23,'Допущения B'!$B$25:$B$31,0),2))</f>
        <v/>
      </c>
      <c r="G23" s="37" t="str">
        <f aca="false">IF($D23="","",$D23*INDEX('Допущения B'!$C$25:$G$31,MATCH($C23,'Допущения B'!$B$25:$B$31,0),3))</f>
        <v/>
      </c>
      <c r="H23" s="37" t="str">
        <f aca="false">IF($D23="","",$D23*INDEX('Допущения B'!$C$25:$G$31,MATCH($C23,'Допущения B'!$B$25:$B$31,0),4))</f>
        <v/>
      </c>
      <c r="I23" s="37" t="str">
        <f aca="false">IF($D23="","",$D23*INDEX('Допущения B'!$C$25:$G$31,MATCH($C23,'Допущения B'!$B$25:$B$31,0),5))</f>
        <v/>
      </c>
      <c r="J23" s="37" t="n">
        <f aca="false">SUM(E23:I23)</f>
        <v>0</v>
      </c>
      <c r="K23" s="38"/>
      <c r="L23" s="39" t="s">
        <v>181</v>
      </c>
    </row>
    <row r="24" customFormat="false" ht="15.75" hidden="false" customHeight="true" outlineLevel="0" collapsed="false">
      <c r="B24" s="41" t="s">
        <v>182</v>
      </c>
      <c r="C24" s="42"/>
      <c r="D24" s="42"/>
      <c r="E24" s="43" t="n">
        <f aca="false">SUM(E18:E23)</f>
        <v>13800</v>
      </c>
      <c r="F24" s="43" t="n">
        <f aca="false">SUM(F18:F23)</f>
        <v>25978.0156798476</v>
      </c>
      <c r="G24" s="43" t="n">
        <f aca="false">SUM(G18:G23)</f>
        <v>42939.0585886082</v>
      </c>
      <c r="H24" s="43" t="n">
        <f aca="false">SUM(H18:H23)</f>
        <v>60873.6788176363</v>
      </c>
      <c r="I24" s="43" t="n">
        <f aca="false">SUM(I18:I23)</f>
        <v>83287.2906928508</v>
      </c>
      <c r="J24" s="43" t="n">
        <f aca="false">SUM(J18:J23)</f>
        <v>226878.043778943</v>
      </c>
      <c r="K24" s="44" t="n">
        <f aca="false">IFERROR(J24/$J$51,0)</f>
        <v>0.0050042212034759</v>
      </c>
      <c r="L24" s="42"/>
    </row>
    <row r="25" customFormat="false" ht="15.75" hidden="false" customHeight="true" outlineLevel="0" collapsed="false">
      <c r="C25" s="45"/>
    </row>
    <row r="26" customFormat="false" ht="15.75" hidden="false" customHeight="true" outlineLevel="0" collapsed="false">
      <c r="B26" s="19" t="s">
        <v>194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</row>
    <row r="27" customFormat="false" ht="15.75" hidden="false" customHeight="true" outlineLevel="0" collapsed="false">
      <c r="B27" s="22" t="s">
        <v>195</v>
      </c>
      <c r="C27" s="35" t="s">
        <v>153</v>
      </c>
      <c r="D27" s="36" t="n">
        <f aca="false">'Допущения B'!C10*0.023</f>
        <v>276000</v>
      </c>
      <c r="E27" s="37" t="n">
        <f aca="false">IF($D27="","",$D27*INDEX('Допущения B'!$C$25:$G$31,MATCH($C27,'Допущения B'!$B$25:$B$31,0),1))</f>
        <v>276000</v>
      </c>
      <c r="F27" s="37" t="n">
        <f aca="false">IF($D27="","",$D27*INDEX('Допущения B'!$C$25:$G$31,MATCH($C27,'Допущения B'!$B$25:$B$31,0),2))</f>
        <v>1159200</v>
      </c>
      <c r="G27" s="37" t="n">
        <f aca="false">IF($D27="","",$D27*INDEX('Допущения B'!$C$25:$G$31,MATCH($C27,'Допущения B'!$B$25:$B$31,0),3))</f>
        <v>3036000</v>
      </c>
      <c r="H27" s="37" t="n">
        <f aca="false">IF($D27="","",$D27*INDEX('Допущения B'!$C$25:$G$31,MATCH($C27,'Допущения B'!$B$25:$B$31,0),4))</f>
        <v>5819000</v>
      </c>
      <c r="I27" s="37" t="n">
        <f aca="false">IF($D27="","",$D27*INDEX('Допущения B'!$C$25:$G$31,MATCH($C27,'Допущения B'!$B$25:$B$31,0),5))</f>
        <v>9936000</v>
      </c>
      <c r="J27" s="37" t="n">
        <f aca="false">SUM(E27:I27)</f>
        <v>20226200</v>
      </c>
      <c r="K27" s="38"/>
      <c r="L27" s="39" t="s">
        <v>196</v>
      </c>
    </row>
    <row r="28" customFormat="false" ht="15.75" hidden="false" customHeight="true" outlineLevel="0" collapsed="false">
      <c r="B28" s="22" t="s">
        <v>197</v>
      </c>
      <c r="C28" s="35" t="s">
        <v>151</v>
      </c>
      <c r="D28" s="36" t="n">
        <v>36000</v>
      </c>
      <c r="E28" s="37" t="n">
        <f aca="false">IF($D28="","",$D28*INDEX('Допущения B'!$C$25:$G$31,MATCH($C28,'Допущения B'!$B$25:$B$31,0),1))</f>
        <v>36000</v>
      </c>
      <c r="F28" s="37" t="n">
        <f aca="false">IF($D28="","",$D28*INDEX('Допущения B'!$C$25:$G$31,MATCH($C28,'Допущения B'!$B$25:$B$31,0),2))</f>
        <v>144000</v>
      </c>
      <c r="G28" s="37" t="n">
        <f aca="false">IF($D28="","",$D28*INDEX('Допущения B'!$C$25:$G$31,MATCH($C28,'Допущения B'!$B$25:$B$31,0),3))</f>
        <v>360000</v>
      </c>
      <c r="H28" s="37" t="n">
        <f aca="false">IF($D28="","",$D28*INDEX('Допущения B'!$C$25:$G$31,MATCH($C28,'Допущения B'!$B$25:$B$31,0),4))</f>
        <v>660000</v>
      </c>
      <c r="I28" s="37" t="n">
        <f aca="false">IF($D28="","",$D28*INDEX('Допущения B'!$C$25:$G$31,MATCH($C28,'Допущения B'!$B$25:$B$31,0),5))</f>
        <v>1080000</v>
      </c>
      <c r="J28" s="37" t="n">
        <f aca="false">SUM(E28:I28)</f>
        <v>2280000</v>
      </c>
      <c r="K28" s="38"/>
      <c r="L28" s="39" t="s">
        <v>198</v>
      </c>
    </row>
    <row r="29" customFormat="false" ht="15.75" hidden="false" customHeight="true" outlineLevel="0" collapsed="false">
      <c r="B29" s="22" t="s">
        <v>199</v>
      </c>
      <c r="C29" s="35" t="s">
        <v>151</v>
      </c>
      <c r="D29" s="36" t="n">
        <v>9000</v>
      </c>
      <c r="E29" s="37" t="n">
        <f aca="false">IF($D29="","",$D29*INDEX('Допущения B'!$C$25:$G$31,MATCH($C29,'Допущения B'!$B$25:$B$31,0),1))</f>
        <v>9000</v>
      </c>
      <c r="F29" s="37" t="n">
        <f aca="false">IF($D29="","",$D29*INDEX('Допущения B'!$C$25:$G$31,MATCH($C29,'Допущения B'!$B$25:$B$31,0),2))</f>
        <v>36000</v>
      </c>
      <c r="G29" s="37" t="n">
        <f aca="false">IF($D29="","",$D29*INDEX('Допущения B'!$C$25:$G$31,MATCH($C29,'Допущения B'!$B$25:$B$31,0),3))</f>
        <v>90000</v>
      </c>
      <c r="H29" s="37" t="n">
        <f aca="false">IF($D29="","",$D29*INDEX('Допущения B'!$C$25:$G$31,MATCH($C29,'Допущения B'!$B$25:$B$31,0),4))</f>
        <v>165000</v>
      </c>
      <c r="I29" s="37" t="n">
        <f aca="false">IF($D29="","",$D29*INDEX('Допущения B'!$C$25:$G$31,MATCH($C29,'Допущения B'!$B$25:$B$31,0),5))</f>
        <v>270000</v>
      </c>
      <c r="J29" s="37" t="n">
        <f aca="false">SUM(E29:I29)</f>
        <v>570000</v>
      </c>
      <c r="K29" s="38"/>
      <c r="L29" s="39" t="s">
        <v>200</v>
      </c>
    </row>
    <row r="30" customFormat="false" ht="15.75" hidden="false" customHeight="true" outlineLevel="0" collapsed="false">
      <c r="B30" s="22" t="s">
        <v>201</v>
      </c>
      <c r="C30" s="35" t="s">
        <v>151</v>
      </c>
      <c r="D30" s="36" t="n">
        <v>60000</v>
      </c>
      <c r="E30" s="37" t="n">
        <f aca="false">IF($D30="","",$D30*INDEX('Допущения B'!$C$25:$G$31,MATCH($C30,'Допущения B'!$B$25:$B$31,0),1))</f>
        <v>60000</v>
      </c>
      <c r="F30" s="37" t="n">
        <f aca="false">IF($D30="","",$D30*INDEX('Допущения B'!$C$25:$G$31,MATCH($C30,'Допущения B'!$B$25:$B$31,0),2))</f>
        <v>240000</v>
      </c>
      <c r="G30" s="37" t="n">
        <f aca="false">IF($D30="","",$D30*INDEX('Допущения B'!$C$25:$G$31,MATCH($C30,'Допущения B'!$B$25:$B$31,0),3))</f>
        <v>600000</v>
      </c>
      <c r="H30" s="37" t="n">
        <f aca="false">IF($D30="","",$D30*INDEX('Допущения B'!$C$25:$G$31,MATCH($C30,'Допущения B'!$B$25:$B$31,0),4))</f>
        <v>1100000</v>
      </c>
      <c r="I30" s="37" t="n">
        <f aca="false">IF($D30="","",$D30*INDEX('Допущения B'!$C$25:$G$31,MATCH($C30,'Допущения B'!$B$25:$B$31,0),5))</f>
        <v>1800000</v>
      </c>
      <c r="J30" s="37" t="n">
        <f aca="false">SUM(E30:I30)</f>
        <v>3800000</v>
      </c>
      <c r="K30" s="38"/>
      <c r="L30" s="39" t="s">
        <v>202</v>
      </c>
    </row>
    <row r="31" customFormat="false" ht="15.75" hidden="false" customHeight="true" outlineLevel="0" collapsed="false">
      <c r="B31" s="22" t="s">
        <v>203</v>
      </c>
      <c r="C31" s="35" t="s">
        <v>151</v>
      </c>
      <c r="D31" s="36" t="n">
        <v>7200</v>
      </c>
      <c r="E31" s="37" t="n">
        <f aca="false">IF($D31="","",$D31*INDEX('Допущения B'!$C$25:$G$31,MATCH($C31,'Допущения B'!$B$25:$B$31,0),1))</f>
        <v>7200</v>
      </c>
      <c r="F31" s="37" t="n">
        <f aca="false">IF($D31="","",$D31*INDEX('Допущения B'!$C$25:$G$31,MATCH($C31,'Допущения B'!$B$25:$B$31,0),2))</f>
        <v>28800</v>
      </c>
      <c r="G31" s="37" t="n">
        <f aca="false">IF($D31="","",$D31*INDEX('Допущения B'!$C$25:$G$31,MATCH($C31,'Допущения B'!$B$25:$B$31,0),3))</f>
        <v>72000</v>
      </c>
      <c r="H31" s="37" t="n">
        <f aca="false">IF($D31="","",$D31*INDEX('Допущения B'!$C$25:$G$31,MATCH($C31,'Допущения B'!$B$25:$B$31,0),4))</f>
        <v>132000</v>
      </c>
      <c r="I31" s="37" t="n">
        <f aca="false">IF($D31="","",$D31*INDEX('Допущения B'!$C$25:$G$31,MATCH($C31,'Допущения B'!$B$25:$B$31,0),5))</f>
        <v>216000</v>
      </c>
      <c r="J31" s="37" t="n">
        <f aca="false">SUM(E31:I31)</f>
        <v>456000</v>
      </c>
      <c r="K31" s="38"/>
      <c r="L31" s="39" t="s">
        <v>204</v>
      </c>
    </row>
    <row r="32" customFormat="false" ht="15.75" hidden="false" customHeight="true" outlineLevel="0" collapsed="false">
      <c r="B32" s="41" t="s">
        <v>182</v>
      </c>
      <c r="C32" s="42"/>
      <c r="D32" s="42"/>
      <c r="E32" s="43" t="n">
        <f aca="false">SUM(E27:E31)</f>
        <v>388200</v>
      </c>
      <c r="F32" s="43" t="n">
        <f aca="false">SUM(F27:F31)</f>
        <v>1608000</v>
      </c>
      <c r="G32" s="43" t="n">
        <f aca="false">SUM(G27:G31)</f>
        <v>4158000</v>
      </c>
      <c r="H32" s="43" t="n">
        <f aca="false">SUM(H27:H31)</f>
        <v>7876000</v>
      </c>
      <c r="I32" s="43" t="n">
        <f aca="false">SUM(I27:I31)</f>
        <v>13302000</v>
      </c>
      <c r="J32" s="43" t="n">
        <f aca="false">SUM(J27:J31)</f>
        <v>27332200</v>
      </c>
      <c r="K32" s="44" t="n">
        <f aca="false">IFERROR(J32/$J$51,0)</f>
        <v>0.602862985326651</v>
      </c>
      <c r="L32" s="42"/>
    </row>
    <row r="33" customFormat="false" ht="15.75" hidden="false" customHeight="true" outlineLevel="0" collapsed="false">
      <c r="C33" s="45"/>
    </row>
    <row r="34" customFormat="false" ht="15.75" hidden="false" customHeight="true" outlineLevel="0" collapsed="false">
      <c r="B34" s="19" t="s">
        <v>205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</row>
    <row r="35" customFormat="false" ht="15.75" hidden="false" customHeight="true" outlineLevel="0" collapsed="false">
      <c r="B35" s="22" t="s">
        <v>206</v>
      </c>
      <c r="C35" s="35" t="s">
        <v>147</v>
      </c>
      <c r="D35" s="36" t="n">
        <v>462000</v>
      </c>
      <c r="E35" s="37" t="n">
        <f aca="false">7*66000*INDEX('Допущения B'!$C$25:$G$31,MATCH("ФОТ",'Допущения B'!$B$25:$B$31,0),1)</f>
        <v>462000</v>
      </c>
      <c r="F35" s="37" t="n">
        <f aca="false">10*66000*INDEX('Допущения B'!$C$25:$G$31,MATCH("ФОТ",'Допущения B'!$B$25:$B$31,0),2)</f>
        <v>739200</v>
      </c>
      <c r="G35" s="37" t="n">
        <f aca="false">14*66000*INDEX('Допущения B'!$C$25:$G$31,MATCH("ФОТ",'Допущения B'!$B$25:$B$31,0),3)</f>
        <v>1159065.6</v>
      </c>
      <c r="H35" s="37" t="n">
        <f aca="false">17*66000*INDEX('Допущения B'!$C$25:$G$31,MATCH("ФОТ",'Допущения B'!$B$25:$B$31,0),4)</f>
        <v>1576329.216</v>
      </c>
      <c r="I35" s="37" t="n">
        <f aca="false">20*66000*INDEX('Допущения B'!$C$25:$G$31,MATCH("ФОТ",'Допущения B'!$B$25:$B$31,0),5)</f>
        <v>2077045.5552</v>
      </c>
      <c r="J35" s="37" t="n">
        <f aca="false">SUM(E35:I35)</f>
        <v>6013640.3712</v>
      </c>
      <c r="K35" s="38"/>
      <c r="L35" s="39" t="s">
        <v>279</v>
      </c>
    </row>
    <row r="36" customFormat="false" ht="15.75" hidden="false" customHeight="true" outlineLevel="0" collapsed="false">
      <c r="B36" s="22" t="s">
        <v>208</v>
      </c>
      <c r="C36" s="35" t="s">
        <v>147</v>
      </c>
      <c r="D36" s="36" t="n">
        <v>156000</v>
      </c>
      <c r="E36" s="37" t="n">
        <f aca="false">2*78000*INDEX('Допущения B'!$C$25:$G$31,MATCH("ФОТ",'Допущения B'!$B$25:$B$31,0),1)</f>
        <v>156000</v>
      </c>
      <c r="F36" s="37" t="n">
        <f aca="false">3*78000*INDEX('Допущения B'!$C$25:$G$31,MATCH("ФОТ",'Допущения B'!$B$25:$B$31,0),2)</f>
        <v>262080</v>
      </c>
      <c r="G36" s="37" t="n">
        <f aca="false">4*78000*INDEX('Допущения B'!$C$25:$G$31,MATCH("ФОТ",'Допущения B'!$B$25:$B$31,0),3)</f>
        <v>391372.8</v>
      </c>
      <c r="H36" s="37" t="n">
        <f aca="false">4*78000*INDEX('Допущения B'!$C$25:$G$31,MATCH("ФОТ",'Допущения B'!$B$25:$B$31,0),4)</f>
        <v>438337.536</v>
      </c>
      <c r="I36" s="37" t="n">
        <f aca="false">5*78000*INDEX('Допущения B'!$C$25:$G$31,MATCH("ФОТ",'Допущения B'!$B$25:$B$31,0),5)</f>
        <v>613672.5504</v>
      </c>
      <c r="J36" s="37" t="n">
        <f aca="false">SUM(E36:I36)</f>
        <v>1861462.8864</v>
      </c>
      <c r="K36" s="38"/>
      <c r="L36" s="39" t="s">
        <v>280</v>
      </c>
    </row>
    <row r="37" customFormat="false" ht="15.75" hidden="false" customHeight="true" outlineLevel="0" collapsed="false">
      <c r="B37" s="22" t="s">
        <v>210</v>
      </c>
      <c r="C37" s="35" t="s">
        <v>147</v>
      </c>
      <c r="D37" s="36" t="n">
        <v>48000</v>
      </c>
      <c r="E37" s="37" t="n">
        <f aca="false">1*48000*INDEX('Допущения B'!$C$25:$G$31,MATCH("ФОТ",'Допущения B'!$B$25:$B$31,0),1)</f>
        <v>48000</v>
      </c>
      <c r="F37" s="37" t="n">
        <f aca="false">2*48000*INDEX('Допущения B'!$C$25:$G$31,MATCH("ФОТ",'Допущения B'!$B$25:$B$31,0),2)</f>
        <v>107520</v>
      </c>
      <c r="G37" s="37" t="n">
        <f aca="false">2*48000*INDEX('Допущения B'!$C$25:$G$31,MATCH("ФОТ",'Допущения B'!$B$25:$B$31,0),3)</f>
        <v>120422.4</v>
      </c>
      <c r="H37" s="37" t="n">
        <f aca="false">3*48000*INDEX('Допущения B'!$C$25:$G$31,MATCH("ФОТ",'Допущения B'!$B$25:$B$31,0),4)</f>
        <v>202309.632</v>
      </c>
      <c r="I37" s="37" t="n">
        <f aca="false">3*48000*INDEX('Допущения B'!$C$25:$G$31,MATCH("ФОТ",'Допущения B'!$B$25:$B$31,0),5)</f>
        <v>226586.78784</v>
      </c>
      <c r="J37" s="37" t="n">
        <f aca="false">SUM(E37:I37)</f>
        <v>704838.81984</v>
      </c>
      <c r="K37" s="38"/>
      <c r="L37" s="39" t="s">
        <v>281</v>
      </c>
    </row>
    <row r="38" customFormat="false" ht="15.75" hidden="false" customHeight="true" outlineLevel="0" collapsed="false">
      <c r="B38" s="22" t="s">
        <v>212</v>
      </c>
      <c r="C38" s="35" t="s">
        <v>147</v>
      </c>
      <c r="D38" s="36" t="n">
        <v>240000</v>
      </c>
      <c r="E38" s="37" t="n">
        <f aca="false">IF($D38="","",$D38*INDEX('Допущения B'!$C$25:$G$31,MATCH($C38,'Допущения B'!$B$25:$B$31,0),1))</f>
        <v>240000</v>
      </c>
      <c r="F38" s="37" t="n">
        <f aca="false">IF($D38="","",$D38*INDEX('Допущения B'!$C$25:$G$31,MATCH($C38,'Допущения B'!$B$25:$B$31,0),2))</f>
        <v>268800</v>
      </c>
      <c r="G38" s="37" t="n">
        <f aca="false">IF($D38="","",$D38*INDEX('Допущения B'!$C$25:$G$31,MATCH($C38,'Допущения B'!$B$25:$B$31,0),3))</f>
        <v>301056</v>
      </c>
      <c r="H38" s="37" t="n">
        <f aca="false">IF($D38="","",$D38*INDEX('Допущения B'!$C$25:$G$31,MATCH($C38,'Допущения B'!$B$25:$B$31,0),4))</f>
        <v>337182.72</v>
      </c>
      <c r="I38" s="37" t="n">
        <f aca="false">IF($D38="","",$D38*INDEX('Допущения B'!$C$25:$G$31,MATCH($C38,'Допущения B'!$B$25:$B$31,0),5))</f>
        <v>377644.6464</v>
      </c>
      <c r="J38" s="37" t="n">
        <f aca="false">SUM(E38:I38)</f>
        <v>1524683.3664</v>
      </c>
      <c r="K38" s="38"/>
      <c r="L38" s="39" t="s">
        <v>274</v>
      </c>
    </row>
    <row r="39" customFormat="false" ht="15.75" hidden="false" customHeight="true" outlineLevel="0" collapsed="false">
      <c r="B39" s="22"/>
      <c r="C39" s="40" t="s">
        <v>143</v>
      </c>
      <c r="D39" s="29"/>
      <c r="E39" s="37" t="str">
        <f aca="false">IF($D39="","",$D39*INDEX('Допущения B'!$C$25:$G$31,MATCH($C39,'Допущения B'!$B$25:$B$31,0),1))</f>
        <v/>
      </c>
      <c r="F39" s="37" t="str">
        <f aca="false">IF($D39="","",$D39*INDEX('Допущения B'!$C$25:$G$31,MATCH($C39,'Допущения B'!$B$25:$B$31,0),2))</f>
        <v/>
      </c>
      <c r="G39" s="37" t="str">
        <f aca="false">IF($D39="","",$D39*INDEX('Допущения B'!$C$25:$G$31,MATCH($C39,'Допущения B'!$B$25:$B$31,0),3))</f>
        <v/>
      </c>
      <c r="H39" s="37" t="str">
        <f aca="false">IF($D39="","",$D39*INDEX('Допущения B'!$C$25:$G$31,MATCH($C39,'Допущения B'!$B$25:$B$31,0),4))</f>
        <v/>
      </c>
      <c r="I39" s="37" t="str">
        <f aca="false">IF($D39="","",$D39*INDEX('Допущения B'!$C$25:$G$31,MATCH($C39,'Допущения B'!$B$25:$B$31,0),5))</f>
        <v/>
      </c>
      <c r="J39" s="37" t="n">
        <f aca="false">SUM(E39:I39)</f>
        <v>0</v>
      </c>
      <c r="K39" s="38"/>
      <c r="L39" s="39" t="s">
        <v>181</v>
      </c>
    </row>
    <row r="40" customFormat="false" ht="15.75" hidden="false" customHeight="true" outlineLevel="0" collapsed="false">
      <c r="B40" s="41" t="s">
        <v>182</v>
      </c>
      <c r="C40" s="42"/>
      <c r="D40" s="42"/>
      <c r="E40" s="43" t="n">
        <f aca="false">SUM(E35:E39)</f>
        <v>906000</v>
      </c>
      <c r="F40" s="43" t="n">
        <f aca="false">SUM(F35:F39)</f>
        <v>1377600</v>
      </c>
      <c r="G40" s="43" t="n">
        <f aca="false">SUM(G35:G39)</f>
        <v>1971916.8</v>
      </c>
      <c r="H40" s="43" t="n">
        <f aca="false">SUM(H35:H39)</f>
        <v>2554159.104</v>
      </c>
      <c r="I40" s="43" t="n">
        <f aca="false">SUM(I35:I39)</f>
        <v>3294949.53984</v>
      </c>
      <c r="J40" s="43" t="n">
        <f aca="false">SUM(J35:J39)</f>
        <v>10104625.44384</v>
      </c>
      <c r="K40" s="44" t="n">
        <f aca="false">IFERROR(J40/$J$51,0)</f>
        <v>0.222876484903558</v>
      </c>
      <c r="L40" s="42"/>
    </row>
    <row r="41" customFormat="false" ht="15.75" hidden="false" customHeight="true" outlineLevel="0" collapsed="false">
      <c r="C41" s="45"/>
    </row>
    <row r="42" customFormat="false" ht="15.75" hidden="false" customHeight="true" outlineLevel="0" collapsed="false">
      <c r="B42" s="19" t="s">
        <v>214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</row>
    <row r="43" customFormat="false" ht="15.75" hidden="false" customHeight="true" outlineLevel="0" collapsed="false">
      <c r="B43" s="22" t="s">
        <v>215</v>
      </c>
      <c r="C43" s="35" t="s">
        <v>143</v>
      </c>
      <c r="D43" s="36" t="n">
        <v>25000</v>
      </c>
      <c r="E43" s="36" t="n">
        <v>25000</v>
      </c>
      <c r="F43" s="36" t="n">
        <v>10000</v>
      </c>
      <c r="G43" s="36" t="n">
        <v>10000</v>
      </c>
      <c r="H43" s="36" t="n">
        <v>10000</v>
      </c>
      <c r="I43" s="36" t="n">
        <v>10000</v>
      </c>
      <c r="J43" s="37" t="n">
        <f aca="false">SUM(E43:I43)</f>
        <v>65000</v>
      </c>
      <c r="K43" s="38"/>
      <c r="L43" s="39" t="s">
        <v>216</v>
      </c>
    </row>
    <row r="44" customFormat="false" ht="15.75" hidden="false" customHeight="true" outlineLevel="0" collapsed="false">
      <c r="B44" s="22" t="s">
        <v>217</v>
      </c>
      <c r="C44" s="35" t="s">
        <v>145</v>
      </c>
      <c r="D44" s="36" t="n">
        <v>15000</v>
      </c>
      <c r="E44" s="37" t="n">
        <f aca="false">IF($D44="","",$D44*INDEX('Допущения B'!$C$25:$G$31,MATCH($C44,'Допущения B'!$B$25:$B$31,0),1))</f>
        <v>15000</v>
      </c>
      <c r="F44" s="37" t="n">
        <f aca="false">IF($D44="","",$D44*INDEX('Допущения B'!$C$25:$G$31,MATCH($C44,'Допущения B'!$B$25:$B$31,0),2))</f>
        <v>16200</v>
      </c>
      <c r="G44" s="37" t="n">
        <f aca="false">IF($D44="","",$D44*INDEX('Допущения B'!$C$25:$G$31,MATCH($C44,'Допущения B'!$B$25:$B$31,0),3))</f>
        <v>17496</v>
      </c>
      <c r="H44" s="37" t="n">
        <f aca="false">IF($D44="","",$D44*INDEX('Допущения B'!$C$25:$G$31,MATCH($C44,'Допущения B'!$B$25:$B$31,0),4))</f>
        <v>18895.68</v>
      </c>
      <c r="I44" s="37" t="n">
        <f aca="false">IF($D44="","",$D44*INDEX('Допущения B'!$C$25:$G$31,MATCH($C44,'Допущения B'!$B$25:$B$31,0),5))</f>
        <v>20407.3344</v>
      </c>
      <c r="J44" s="37" t="n">
        <f aca="false">SUM(E44:I44)</f>
        <v>87999.0144</v>
      </c>
      <c r="K44" s="38"/>
      <c r="L44" s="39" t="s">
        <v>218</v>
      </c>
    </row>
    <row r="45" customFormat="false" ht="15.75" hidden="false" customHeight="true" outlineLevel="0" collapsed="false">
      <c r="B45" s="22" t="s">
        <v>219</v>
      </c>
      <c r="C45" s="35" t="s">
        <v>143</v>
      </c>
      <c r="D45" s="36" t="n">
        <v>25000</v>
      </c>
      <c r="E45" s="37" t="n">
        <f aca="false">$D45</f>
        <v>25000</v>
      </c>
      <c r="F45" s="36" t="n">
        <v>0</v>
      </c>
      <c r="G45" s="36" t="n">
        <v>0</v>
      </c>
      <c r="H45" s="36" t="n">
        <v>0</v>
      </c>
      <c r="I45" s="36" t="n">
        <v>0</v>
      </c>
      <c r="J45" s="37" t="n">
        <f aca="false">SUM(E45:I45)</f>
        <v>25000</v>
      </c>
      <c r="K45" s="38"/>
      <c r="L45" s="39" t="s">
        <v>282</v>
      </c>
    </row>
    <row r="46" customFormat="false" ht="15.75" hidden="false" customHeight="true" outlineLevel="0" collapsed="false">
      <c r="B46" s="22" t="s">
        <v>221</v>
      </c>
      <c r="C46" s="35" t="s">
        <v>147</v>
      </c>
      <c r="D46" s="36" t="n">
        <v>25000</v>
      </c>
      <c r="E46" s="37" t="n">
        <f aca="false">IF($D46="","",$D46*INDEX('Допущения B'!$C$25:$G$31,MATCH($C46,'Допущения B'!$B$25:$B$31,0),1))</f>
        <v>25000</v>
      </c>
      <c r="F46" s="37" t="n">
        <f aca="false">IF($D46="","",$D46*INDEX('Допущения B'!$C$25:$G$31,MATCH($C46,'Допущения B'!$B$25:$B$31,0),2))</f>
        <v>28000</v>
      </c>
      <c r="G46" s="37" t="n">
        <f aca="false">IF($D46="","",$D46*INDEX('Допущения B'!$C$25:$G$31,MATCH($C46,'Допущения B'!$B$25:$B$31,0),3))</f>
        <v>31360</v>
      </c>
      <c r="H46" s="37" t="n">
        <f aca="false">IF($D46="","",$D46*INDEX('Допущения B'!$C$25:$G$31,MATCH($C46,'Допущения B'!$B$25:$B$31,0),4))</f>
        <v>35123.2</v>
      </c>
      <c r="I46" s="37" t="n">
        <f aca="false">IF($D46="","",$D46*INDEX('Допущения B'!$C$25:$G$31,MATCH($C46,'Допущения B'!$B$25:$B$31,0),5))</f>
        <v>39337.984</v>
      </c>
      <c r="J46" s="37" t="n">
        <f aca="false">SUM(E46:I46)</f>
        <v>158821.184</v>
      </c>
      <c r="K46" s="38"/>
      <c r="L46" s="39" t="s">
        <v>283</v>
      </c>
    </row>
    <row r="47" customFormat="false" ht="15.75" hidden="false" customHeight="true" outlineLevel="0" collapsed="false">
      <c r="B47" s="22"/>
      <c r="C47" s="40" t="s">
        <v>143</v>
      </c>
      <c r="D47" s="29"/>
      <c r="E47" s="37" t="str">
        <f aca="false">IF($D47="","",$D47*INDEX('Допущения B'!$C$25:$G$31,MATCH($C47,'Допущения B'!$B$25:$B$31,0),1))</f>
        <v/>
      </c>
      <c r="F47" s="37" t="str">
        <f aca="false">IF($D47="","",$D47*INDEX('Допущения B'!$C$25:$G$31,MATCH($C47,'Допущения B'!$B$25:$B$31,0),2))</f>
        <v/>
      </c>
      <c r="G47" s="37" t="str">
        <f aca="false">IF($D47="","",$D47*INDEX('Допущения B'!$C$25:$G$31,MATCH($C47,'Допущения B'!$B$25:$B$31,0),3))</f>
        <v/>
      </c>
      <c r="H47" s="37" t="str">
        <f aca="false">IF($D47="","",$D47*INDEX('Допущения B'!$C$25:$G$31,MATCH($C47,'Допущения B'!$B$25:$B$31,0),4))</f>
        <v/>
      </c>
      <c r="I47" s="37" t="str">
        <f aca="false">IF($D47="","",$D47*INDEX('Допущения B'!$C$25:$G$31,MATCH($C47,'Допущения B'!$B$25:$B$31,0),5))</f>
        <v/>
      </c>
      <c r="J47" s="37" t="n">
        <f aca="false">SUM(E47:I47)</f>
        <v>0</v>
      </c>
      <c r="K47" s="38"/>
      <c r="L47" s="39" t="s">
        <v>181</v>
      </c>
    </row>
    <row r="48" customFormat="false" ht="15.75" hidden="false" customHeight="true" outlineLevel="0" collapsed="false">
      <c r="B48" s="41" t="s">
        <v>182</v>
      </c>
      <c r="C48" s="42"/>
      <c r="D48" s="42"/>
      <c r="E48" s="43" t="n">
        <f aca="false">SUM(E43:E47)</f>
        <v>90000</v>
      </c>
      <c r="F48" s="43" t="n">
        <f aca="false">SUM(F43:F47)</f>
        <v>54200</v>
      </c>
      <c r="G48" s="43" t="n">
        <f aca="false">SUM(G43:G47)</f>
        <v>58856</v>
      </c>
      <c r="H48" s="43" t="n">
        <f aca="false">SUM(H43:H47)</f>
        <v>64018.88</v>
      </c>
      <c r="I48" s="43" t="n">
        <f aca="false">SUM(I43:I47)</f>
        <v>69745.3184</v>
      </c>
      <c r="J48" s="43" t="n">
        <f aca="false">SUM(J43:J47)</f>
        <v>336820.1984</v>
      </c>
      <c r="K48" s="44" t="n">
        <f aca="false">IFERROR(J48/$J$51,0)</f>
        <v>0.00742920183248106</v>
      </c>
      <c r="L48" s="42"/>
    </row>
    <row r="49" customFormat="false" ht="15.75" hidden="false" customHeight="true" outlineLevel="0" collapsed="false">
      <c r="C49" s="45"/>
    </row>
    <row r="50" customFormat="false" ht="15.75" hidden="false" customHeight="true" outlineLevel="0" collapsed="false">
      <c r="B50" s="26" t="s">
        <v>223</v>
      </c>
      <c r="C50" s="45"/>
      <c r="E50" s="46" t="n">
        <f aca="false">(E15+E24+E32+E40+E48)*'Допущения B'!$C$17</f>
        <v>223200</v>
      </c>
      <c r="F50" s="46" t="n">
        <f aca="false">(F15+F24+F32+F40+F48)*'Допущения B'!$C$17</f>
        <v>485207.06257898</v>
      </c>
      <c r="G50" s="46" t="n">
        <f aca="false">(G15+G24+G32+G40+G48)*'Допущения B'!$C$17</f>
        <v>975796.821967596</v>
      </c>
      <c r="H50" s="46" t="n">
        <f aca="false">(H15+H24+H32+H40+H48)*'Допущения B'!$C$17</f>
        <v>1640318.3453054</v>
      </c>
      <c r="I50" s="46" t="n">
        <f aca="false">(I15+I24+I32+I40+I48)*'Допущения B'!$C$17</f>
        <v>2589042.96155835</v>
      </c>
      <c r="J50" s="37" t="n">
        <f aca="false">SUM(E50:I50)</f>
        <v>5913565.19141032</v>
      </c>
      <c r="L50" s="18" t="s">
        <v>224</v>
      </c>
    </row>
    <row r="51" customFormat="false" ht="15.75" hidden="false" customHeight="true" outlineLevel="0" collapsed="false">
      <c r="B51" s="41" t="s">
        <v>225</v>
      </c>
      <c r="C51" s="45"/>
      <c r="E51" s="43" t="n">
        <f aca="false">E15+E24+E32+E40+E48+E50</f>
        <v>1711200</v>
      </c>
      <c r="F51" s="43" t="n">
        <f aca="false">F15+F24+F32+F40+F48+F50</f>
        <v>3719920.81310552</v>
      </c>
      <c r="G51" s="43" t="n">
        <f aca="false">G15+G24+G32+G40+G48+G50</f>
        <v>7481108.96841824</v>
      </c>
      <c r="H51" s="43" t="n">
        <f aca="false">H15+H24+H32+H40+H48+H50</f>
        <v>12575773.9806747</v>
      </c>
      <c r="I51" s="43" t="n">
        <f aca="false">I15+I24+I32+I40+I48+I50</f>
        <v>19849329.3719473</v>
      </c>
      <c r="J51" s="43" t="n">
        <f aca="false">SUM(E51:I51)</f>
        <v>45337333.1341458</v>
      </c>
    </row>
    <row r="52" customFormat="false" ht="15.75" hidden="false" customHeight="true" outlineLevel="0" collapsed="false">
      <c r="B52" s="19" t="s">
        <v>226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</row>
    <row r="53" customFormat="false" ht="15.75" hidden="false" customHeight="true" outlineLevel="0" collapsed="false">
      <c r="B53" s="22" t="s">
        <v>227</v>
      </c>
      <c r="E53" s="46" t="n">
        <f aca="false">(1-'Допущения B'!$C$20)*525600*MIN('Допущения B'!$C$19,'Допущения B'!C10/525600*'Допущения B'!$C$22)*'Допущения B'!$C$21</f>
        <v>29999.9999999967</v>
      </c>
      <c r="F53" s="46" t="n">
        <f aca="false">(1-'Допущения B'!$C$20)*525600*MIN('Допущения B'!$C$19,'Допущения B'!D10/525600*'Допущения B'!$C$22)*'Допущения B'!$C$21</f>
        <v>125999.999999986</v>
      </c>
      <c r="G53" s="46" t="n">
        <f aca="false">(1-'Допущения B'!$C$20)*525600*MIN('Допущения B'!$C$19,'Допущения B'!E10/525600*'Допущения B'!$C$22)*'Допущения B'!$C$21</f>
        <v>329999.999999964</v>
      </c>
      <c r="H53" s="46" t="n">
        <f aca="false">(1-'Допущения B'!$C$20)*525600*MIN('Допущения B'!$C$19,'Допущения B'!F10/525600*'Допущения B'!$C$22)*'Допущения B'!$C$21</f>
        <v>632499.99999993</v>
      </c>
      <c r="I53" s="46" t="n">
        <f aca="false">(1-'Допущения B'!$C$20)*525600*MIN('Допущения B'!$C$19,'Допущения B'!G10/525600*'Допущения B'!$C$22)*'Допущения B'!$C$21</f>
        <v>1079999.99999988</v>
      </c>
      <c r="J53" s="37" t="n">
        <f aca="false">SUM(E53:I53)</f>
        <v>2198499.99999976</v>
      </c>
      <c r="L53" s="24" t="s">
        <v>228</v>
      </c>
    </row>
    <row r="54" customFormat="false" ht="15.75" hidden="false" customHeight="true" outlineLevel="0" collapsed="false">
      <c r="B54" s="41" t="s">
        <v>229</v>
      </c>
      <c r="E54" s="43" t="n">
        <f aca="false">E51+E53</f>
        <v>1741200</v>
      </c>
      <c r="F54" s="43" t="n">
        <f aca="false">F51+F53</f>
        <v>3845920.8131055</v>
      </c>
      <c r="G54" s="43" t="n">
        <f aca="false">G51+G53</f>
        <v>7811108.9684182</v>
      </c>
      <c r="H54" s="43" t="n">
        <f aca="false">H51+H53</f>
        <v>13208273.9806746</v>
      </c>
      <c r="I54" s="43" t="n">
        <f aca="false">I51+I53</f>
        <v>20929329.3719472</v>
      </c>
      <c r="J54" s="43" t="n">
        <f aca="false">SUM(E54:I54)</f>
        <v>47535833.1341455</v>
      </c>
    </row>
    <row r="55" customFormat="false" ht="15.75" hidden="false" customHeight="true" outlineLevel="0" collapsed="false">
      <c r="B55" s="22" t="s">
        <v>230</v>
      </c>
      <c r="E55" s="47" t="n">
        <f aca="false">1/(1+'Допущения B'!$C$16)^0</f>
        <v>1</v>
      </c>
      <c r="F55" s="47" t="n">
        <f aca="false">1/(1+'Допущения B'!$C$16)^1</f>
        <v>0.833333333333333</v>
      </c>
      <c r="G55" s="47" t="n">
        <f aca="false">1/(1+'Допущения B'!$C$16)^2</f>
        <v>0.694444444444444</v>
      </c>
      <c r="H55" s="47" t="n">
        <f aca="false">1/(1+'Допущения B'!$C$16)^3</f>
        <v>0.578703703703704</v>
      </c>
      <c r="I55" s="47" t="n">
        <f aca="false">1/(1+'Допущения B'!$C$16)^4</f>
        <v>0.482253086419753</v>
      </c>
    </row>
    <row r="56" customFormat="false" ht="15.75" hidden="false" customHeight="true" outlineLevel="0" collapsed="false">
      <c r="B56" s="41" t="s">
        <v>231</v>
      </c>
      <c r="E56" s="43" t="n">
        <f aca="false">E54*E55</f>
        <v>1741200</v>
      </c>
      <c r="F56" s="43" t="n">
        <f aca="false">F54*F55</f>
        <v>3204934.01092125</v>
      </c>
      <c r="G56" s="43" t="n">
        <f aca="false">G54*G55</f>
        <v>5424381.22806819</v>
      </c>
      <c r="H56" s="43" t="n">
        <f aca="false">H54*H55</f>
        <v>7643677.07214968</v>
      </c>
      <c r="I56" s="43" t="n">
        <f aca="false">I54*I55</f>
        <v>10093233.6863171</v>
      </c>
      <c r="J56" s="43" t="n">
        <f aca="false">SUM(E56:I56)</f>
        <v>28107425.9974562</v>
      </c>
    </row>
    <row r="57" customFormat="false" ht="15.75" hidden="false" customHeight="true" outlineLevel="0" collapsed="false"/>
    <row r="58" customFormat="false" ht="15.75" hidden="false" customHeight="true" outlineLevel="0" collapsed="false">
      <c r="B58" s="19" t="s">
        <v>232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</row>
    <row r="59" customFormat="false" ht="15.75" hidden="false" customHeight="true" outlineLevel="0" collapsed="false">
      <c r="B59" s="26" t="s">
        <v>233</v>
      </c>
      <c r="E59" s="48" t="n">
        <f aca="false">J51</f>
        <v>45337333.1341458</v>
      </c>
      <c r="F59" s="48"/>
      <c r="L59" s="24" t="s">
        <v>234</v>
      </c>
    </row>
    <row r="60" customFormat="false" ht="15.75" hidden="false" customHeight="true" outlineLevel="0" collapsed="false">
      <c r="B60" s="26" t="s">
        <v>235</v>
      </c>
      <c r="E60" s="48" t="n">
        <f aca="false">J54</f>
        <v>47535833.1341455</v>
      </c>
      <c r="F60" s="48"/>
      <c r="L60" s="24" t="s">
        <v>236</v>
      </c>
    </row>
    <row r="61" customFormat="false" ht="15.75" hidden="false" customHeight="true" outlineLevel="0" collapsed="false">
      <c r="B61" s="26" t="s">
        <v>237</v>
      </c>
      <c r="E61" s="48" t="n">
        <f aca="false">J56</f>
        <v>28107425.9974562</v>
      </c>
      <c r="F61" s="48"/>
      <c r="L61" s="24" t="s">
        <v>238</v>
      </c>
    </row>
    <row r="62" customFormat="false" ht="15.75" hidden="false" customHeight="true" outlineLevel="0" collapsed="false">
      <c r="B62" s="26" t="s">
        <v>239</v>
      </c>
      <c r="E62" s="48" t="n">
        <f aca="false">J51/5</f>
        <v>9067466.62682916</v>
      </c>
      <c r="F62" s="48"/>
      <c r="L62" s="24" t="s">
        <v>240</v>
      </c>
    </row>
    <row r="63" customFormat="false" ht="15.75" hidden="false" customHeight="true" outlineLevel="0" collapsed="false">
      <c r="B63" s="26" t="s">
        <v>241</v>
      </c>
      <c r="E63" s="48" t="n">
        <f aca="false">(E15+E24)/12</f>
        <v>8650</v>
      </c>
      <c r="F63" s="48"/>
      <c r="L63" s="24" t="s">
        <v>242</v>
      </c>
    </row>
    <row r="64" customFormat="false" ht="15.75" hidden="false" customHeight="true" outlineLevel="0" collapsed="false">
      <c r="B64" s="26" t="s">
        <v>243</v>
      </c>
      <c r="E64" s="49" t="str">
        <f aca="false">IF((E15+E24)/12&lt;='Допущения B'!$C$18,"В бюджете CFO","ПРЕВЫШЕНИЕ бюджета")</f>
        <v>ПРЕВЫШЕНИЕ бюджета</v>
      </c>
      <c r="F64" s="49"/>
      <c r="L64" s="24" t="s">
        <v>244</v>
      </c>
    </row>
    <row r="65" customFormat="false" ht="15.75" hidden="false" customHeight="true" outlineLevel="0" collapsed="false">
      <c r="B65" s="26" t="s">
        <v>245</v>
      </c>
      <c r="E65" s="50" t="n">
        <f aca="false">IFERROR(J51/SUM('Допущения B'!$C$8:$G$8),0)</f>
        <v>1.19308771405647</v>
      </c>
      <c r="F65" s="50"/>
      <c r="L65" s="24" t="s">
        <v>246</v>
      </c>
    </row>
    <row r="66" customFormat="false" ht="15.75" hidden="false" customHeight="true" outlineLevel="0" collapsed="false">
      <c r="B66" s="26" t="s">
        <v>247</v>
      </c>
      <c r="E66" s="50" t="n">
        <f aca="false">IFERROR(I51/'Допущения B'!$G$7,0)</f>
        <v>3.30822156199122</v>
      </c>
      <c r="F66" s="50"/>
      <c r="L66" s="24" t="s">
        <v>248</v>
      </c>
    </row>
    <row r="67" customFormat="false" ht="15.75" hidden="false" customHeight="true" outlineLevel="0" collapsed="false">
      <c r="B67" s="26" t="s">
        <v>249</v>
      </c>
      <c r="E67" s="51" t="n">
        <f aca="false">IFERROR(J51/SUM('Допущения B'!$C$10:$G$10),0)</f>
        <v>0.051554847775922</v>
      </c>
      <c r="F67" s="51"/>
      <c r="L67" s="24" t="s">
        <v>250</v>
      </c>
    </row>
    <row r="68" customFormat="false" ht="15.75" hidden="false" customHeight="true" outlineLevel="0" collapsed="false">
      <c r="B68" s="26" t="s">
        <v>251</v>
      </c>
      <c r="E68" s="52" t="n">
        <f aca="false">IFERROR(J15/J51,0)</f>
        <v>0.031392324125139</v>
      </c>
      <c r="F68" s="52"/>
      <c r="L68" s="24" t="s">
        <v>252</v>
      </c>
    </row>
    <row r="69" customFormat="false" ht="15.75" hidden="false" customHeight="true" outlineLevel="0" collapsed="false">
      <c r="B69" s="26" t="s">
        <v>253</v>
      </c>
      <c r="E69" s="52" t="n">
        <f aca="false">IFERROR(J32/J51,0)</f>
        <v>0.602862985326651</v>
      </c>
      <c r="F69" s="52"/>
      <c r="L69" s="24" t="s">
        <v>254</v>
      </c>
    </row>
    <row r="70" customFormat="false" ht="15.75" hidden="false" customHeight="true" outlineLevel="0" collapsed="false">
      <c r="B70" s="26" t="s">
        <v>255</v>
      </c>
      <c r="E70" s="52" t="n">
        <f aca="false">IFERROR(J40/J51,0)</f>
        <v>0.222876484903558</v>
      </c>
      <c r="F70" s="52"/>
      <c r="L70" s="24" t="s">
        <v>256</v>
      </c>
    </row>
    <row r="71" customFormat="false" ht="15.75" hidden="false" customHeight="true" outlineLevel="0" collapsed="false">
      <c r="B71" s="1" t="s">
        <v>257</v>
      </c>
      <c r="E71" s="53" t="n">
        <f aca="false">E51/'Допущения B'!C8</f>
        <v>2.852</v>
      </c>
      <c r="L71" s="1" t="s">
        <v>258</v>
      </c>
    </row>
    <row r="72" customFormat="false" ht="15.75" hidden="false" customHeight="true" outlineLevel="0" collapsed="false">
      <c r="B72" s="54" t="s">
        <v>259</v>
      </c>
      <c r="C72" s="54"/>
      <c r="D72" s="54"/>
      <c r="E72" s="54" t="n">
        <f aca="false">F51/'Допущения B'!D8</f>
        <v>1.54996700546063</v>
      </c>
      <c r="F72" s="54"/>
      <c r="G72" s="54"/>
      <c r="H72" s="54"/>
      <c r="I72" s="54"/>
      <c r="J72" s="54"/>
      <c r="K72" s="54"/>
      <c r="L72" s="54" t="s">
        <v>260</v>
      </c>
    </row>
    <row r="73" customFormat="false" ht="15" hidden="false" customHeight="true" outlineLevel="0" collapsed="false">
      <c r="B73" s="55" t="s">
        <v>261</v>
      </c>
      <c r="C73" s="55"/>
      <c r="D73" s="55"/>
      <c r="E73" s="55" t="n">
        <f aca="false">(E51-E32*(1+'Допущения B'!$C$17))/'Допущения B'!C8</f>
        <v>2.10795</v>
      </c>
      <c r="F73" s="55"/>
      <c r="G73" s="55"/>
      <c r="H73" s="55"/>
      <c r="I73" s="55"/>
      <c r="J73" s="55"/>
      <c r="K73" s="55"/>
      <c r="L73" s="55" t="s">
        <v>262</v>
      </c>
    </row>
    <row r="74" customFormat="false" ht="15.75" hidden="false" customHeight="true" outlineLevel="0" collapsed="false">
      <c r="B74" s="55" t="s">
        <v>263</v>
      </c>
      <c r="C74" s="55"/>
      <c r="D74" s="55"/>
      <c r="E74" s="55" t="n">
        <f aca="false">(F51-F32*(1+'Допущения B'!$C$17))/'Допущения B'!D8</f>
        <v>0.779467005460632</v>
      </c>
      <c r="F74" s="55"/>
      <c r="G74" s="55"/>
      <c r="H74" s="55"/>
      <c r="I74" s="55"/>
      <c r="J74" s="55"/>
      <c r="K74" s="55"/>
      <c r="L74" s="55"/>
    </row>
    <row r="75" customFormat="false" ht="15.75" hidden="false" customHeight="true" outlineLevel="0" collapsed="false">
      <c r="B75" s="55" t="s">
        <v>264</v>
      </c>
      <c r="C75" s="55"/>
      <c r="D75" s="55"/>
      <c r="E75" s="55" t="n">
        <f aca="false">(J15+J24+J40+J48)*(1+'Допущения B'!$C$17)</f>
        <v>13905303.1341458</v>
      </c>
      <c r="F75" s="55"/>
      <c r="G75" s="55"/>
      <c r="H75" s="55"/>
      <c r="I75" s="55"/>
      <c r="J75" s="55"/>
      <c r="K75" s="55"/>
      <c r="L75" s="55" t="s">
        <v>265</v>
      </c>
    </row>
    <row r="76" customFormat="false" ht="15.75" hidden="false" customHeight="true" outlineLevel="0" collapsed="false"/>
    <row r="77" customFormat="false" ht="15.75" hidden="false" customHeight="true" outlineLevel="0" collapsed="false">
      <c r="B77" s="8" t="s">
        <v>266</v>
      </c>
    </row>
    <row r="78" customFormat="false" ht="15.75" hidden="false" customHeight="true" outlineLevel="0" collapsed="false">
      <c r="B78" s="56" t="s">
        <v>284</v>
      </c>
      <c r="C78" s="56"/>
      <c r="D78" s="56"/>
      <c r="E78" s="56"/>
      <c r="F78" s="56"/>
      <c r="G78" s="56"/>
      <c r="H78" s="56"/>
      <c r="I78" s="56"/>
      <c r="J78" s="56"/>
      <c r="K78" s="56"/>
      <c r="L78" s="56"/>
    </row>
    <row r="79" customFormat="false" ht="15.75" hidden="false" customHeight="true" outlineLevel="0" collapsed="false"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</row>
    <row r="80" customFormat="false" ht="15.75" hidden="false" customHeight="true" outlineLevel="0" collapsed="false"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</row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5"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B72:L72"/>
    <mergeCell ref="B73:L75"/>
    <mergeCell ref="B78:L80"/>
  </mergeCells>
  <dataValidations count="1">
    <dataValidation allowBlank="true" errorStyle="stop" operator="between" showDropDown="false" showErrorMessage="false" showInputMessage="false" sqref="C6:C51" type="list">
      <formula1>"фикс,инфляция,ФОТ,пользователи,заказы,GMV,масштаб"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000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B2" activeCellId="0" sqref="B2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7" min="3" style="1" width="15"/>
    <col collapsed="false" customWidth="true" hidden="false" outlineLevel="0" max="8" min="8" style="1" width="52"/>
    <col collapsed="false" customWidth="true" hidden="false" outlineLevel="0" max="26" min="9" style="1" width="8.71"/>
  </cols>
  <sheetData>
    <row r="2" customFormat="false" ht="17.35" hidden="false" customHeight="false" outlineLevel="0" collapsed="false">
      <c r="B2" s="2" t="s">
        <v>285</v>
      </c>
    </row>
    <row r="3" customFormat="false" ht="15" hidden="false" customHeight="false" outlineLevel="0" collapsed="false">
      <c r="B3" s="18" t="s">
        <v>102</v>
      </c>
    </row>
    <row r="5" customFormat="false" ht="15" hidden="false" customHeight="false" outlineLevel="0" collapsed="false">
      <c r="B5" s="19" t="s">
        <v>103</v>
      </c>
      <c r="C5" s="20"/>
      <c r="D5" s="20"/>
      <c r="E5" s="20"/>
      <c r="F5" s="20"/>
      <c r="G5" s="20"/>
      <c r="H5" s="20"/>
    </row>
    <row r="6" customFormat="false" ht="15" hidden="false" customHeight="false" outlineLevel="0" collapsed="false">
      <c r="B6" s="21" t="s">
        <v>104</v>
      </c>
      <c r="C6" s="21" t="s">
        <v>105</v>
      </c>
      <c r="D6" s="21" t="s">
        <v>106</v>
      </c>
      <c r="E6" s="21" t="s">
        <v>107</v>
      </c>
      <c r="F6" s="21" t="s">
        <v>108</v>
      </c>
      <c r="G6" s="21" t="s">
        <v>109</v>
      </c>
      <c r="H6" s="21" t="s">
        <v>110</v>
      </c>
    </row>
    <row r="7" customFormat="false" ht="15" hidden="false" customHeight="false" outlineLevel="0" collapsed="false">
      <c r="B7" s="22" t="s">
        <v>111</v>
      </c>
      <c r="C7" s="57" t="n">
        <f aca="false">'Допущения A'!C7</f>
        <v>400000</v>
      </c>
      <c r="D7" s="57" t="n">
        <f aca="false">'Допущения A'!D7</f>
        <v>1200000</v>
      </c>
      <c r="E7" s="57" t="n">
        <f aca="false">'Допущения A'!E7</f>
        <v>2500000</v>
      </c>
      <c r="F7" s="57" t="n">
        <f aca="false">'Допущения A'!F7</f>
        <v>4000000</v>
      </c>
      <c r="G7" s="57" t="n">
        <f aca="false">'Допущения A'!G7</f>
        <v>6000000</v>
      </c>
      <c r="H7" s="24" t="s">
        <v>269</v>
      </c>
    </row>
    <row r="8" customFormat="false" ht="15" hidden="false" customHeight="false" outlineLevel="0" collapsed="false">
      <c r="B8" s="22" t="s">
        <v>113</v>
      </c>
      <c r="C8" s="57" t="n">
        <f aca="false">'Допущения A'!C8</f>
        <v>600000</v>
      </c>
      <c r="D8" s="57" t="n">
        <f aca="false">'Допущения A'!D8</f>
        <v>2400000</v>
      </c>
      <c r="E8" s="57" t="n">
        <f aca="false">'Допущения A'!E8</f>
        <v>6000000</v>
      </c>
      <c r="F8" s="57" t="n">
        <f aca="false">'Допущения A'!F8</f>
        <v>11000000</v>
      </c>
      <c r="G8" s="57" t="n">
        <f aca="false">'Допущения A'!G8</f>
        <v>18000000</v>
      </c>
      <c r="H8" s="24" t="s">
        <v>269</v>
      </c>
    </row>
    <row r="9" customFormat="false" ht="15" hidden="false" customHeight="false" outlineLevel="0" collapsed="false">
      <c r="B9" s="22" t="s">
        <v>115</v>
      </c>
      <c r="C9" s="58" t="n">
        <f aca="false">'Допущения A'!C9</f>
        <v>20</v>
      </c>
      <c r="D9" s="58" t="n">
        <f aca="false">'Допущения A'!D9</f>
        <v>21</v>
      </c>
      <c r="E9" s="58" t="n">
        <f aca="false">'Допущения A'!E9</f>
        <v>22</v>
      </c>
      <c r="F9" s="58" t="n">
        <f aca="false">'Допущения A'!F9</f>
        <v>23</v>
      </c>
      <c r="G9" s="58" t="n">
        <f aca="false">'Допущения A'!G9</f>
        <v>24</v>
      </c>
      <c r="H9" s="24" t="s">
        <v>269</v>
      </c>
    </row>
    <row r="10" customFormat="false" ht="15" hidden="false" customHeight="false" outlineLevel="0" collapsed="false">
      <c r="B10" s="26" t="s">
        <v>117</v>
      </c>
      <c r="C10" s="27" t="n">
        <f aca="false">C8*C9</f>
        <v>12000000</v>
      </c>
      <c r="D10" s="27" t="n">
        <f aca="false">D8*D9</f>
        <v>50400000</v>
      </c>
      <c r="E10" s="27" t="n">
        <f aca="false">E8*E9</f>
        <v>132000000</v>
      </c>
      <c r="F10" s="27" t="n">
        <f aca="false">F8*F9</f>
        <v>253000000</v>
      </c>
      <c r="G10" s="27" t="n">
        <f aca="false">G8*G9</f>
        <v>432000000</v>
      </c>
      <c r="H10" s="24" t="s">
        <v>118</v>
      </c>
    </row>
    <row r="12" customFormat="false" ht="15" hidden="false" customHeight="false" outlineLevel="0" collapsed="false">
      <c r="B12" s="19" t="s">
        <v>119</v>
      </c>
      <c r="C12" s="20"/>
      <c r="D12" s="20"/>
      <c r="E12" s="20"/>
      <c r="F12" s="20"/>
      <c r="G12" s="20"/>
      <c r="H12" s="20"/>
    </row>
    <row r="13" customFormat="false" ht="15" hidden="false" customHeight="false" outlineLevel="0" collapsed="false">
      <c r="B13" s="21" t="s">
        <v>120</v>
      </c>
      <c r="C13" s="21" t="s">
        <v>121</v>
      </c>
      <c r="D13" s="21"/>
      <c r="E13" s="21"/>
      <c r="F13" s="21"/>
      <c r="G13" s="21"/>
      <c r="H13" s="21" t="s">
        <v>110</v>
      </c>
    </row>
    <row r="14" customFormat="false" ht="15" hidden="false" customHeight="false" outlineLevel="0" collapsed="false">
      <c r="B14" s="22" t="s">
        <v>122</v>
      </c>
      <c r="C14" s="28" t="n">
        <v>0.08</v>
      </c>
      <c r="H14" s="24" t="s">
        <v>123</v>
      </c>
    </row>
    <row r="15" customFormat="false" ht="15" hidden="false" customHeight="false" outlineLevel="0" collapsed="false">
      <c r="B15" s="22" t="s">
        <v>124</v>
      </c>
      <c r="C15" s="28" t="n">
        <v>0.12</v>
      </c>
      <c r="H15" s="24" t="s">
        <v>125</v>
      </c>
    </row>
    <row r="16" customFormat="false" ht="15" hidden="false" customHeight="false" outlineLevel="0" collapsed="false">
      <c r="B16" s="22" t="s">
        <v>126</v>
      </c>
      <c r="C16" s="28" t="n">
        <v>0.2</v>
      </c>
      <c r="H16" s="24" t="s">
        <v>127</v>
      </c>
    </row>
    <row r="17" customFormat="false" ht="15" hidden="false" customHeight="false" outlineLevel="0" collapsed="false">
      <c r="B17" s="22" t="s">
        <v>128</v>
      </c>
      <c r="C17" s="28" t="n">
        <v>0.15</v>
      </c>
      <c r="H17" s="24" t="s">
        <v>129</v>
      </c>
    </row>
    <row r="18" customFormat="false" ht="22.35" hidden="false" customHeight="false" outlineLevel="0" collapsed="false">
      <c r="B18" s="22" t="s">
        <v>130</v>
      </c>
      <c r="C18" s="29" t="n">
        <v>5000</v>
      </c>
      <c r="H18" s="24" t="s">
        <v>131</v>
      </c>
    </row>
    <row r="19" customFormat="false" ht="22.35" hidden="false" customHeight="false" outlineLevel="0" collapsed="false">
      <c r="B19" s="22" t="s">
        <v>132</v>
      </c>
      <c r="C19" s="29" t="n">
        <v>12000</v>
      </c>
      <c r="H19" s="24" t="s">
        <v>133</v>
      </c>
    </row>
    <row r="20" customFormat="false" ht="15" hidden="false" customHeight="false" outlineLevel="0" collapsed="false">
      <c r="B20" s="22" t="s">
        <v>134</v>
      </c>
      <c r="C20" s="30" t="n">
        <v>0.9999</v>
      </c>
      <c r="H20" s="24" t="s">
        <v>286</v>
      </c>
    </row>
    <row r="21" customFormat="false" ht="15.75" hidden="false" customHeight="true" outlineLevel="0" collapsed="false">
      <c r="B21" s="22" t="s">
        <v>136</v>
      </c>
      <c r="C21" s="31" t="n">
        <v>1</v>
      </c>
      <c r="H21" s="24" t="s">
        <v>137</v>
      </c>
    </row>
    <row r="22" customFormat="false" ht="15.75" hidden="false" customHeight="true" outlineLevel="0" collapsed="false">
      <c r="B22" s="1" t="s">
        <v>138</v>
      </c>
      <c r="C22" s="32" t="n">
        <v>5</v>
      </c>
      <c r="H22" s="1" t="s">
        <v>139</v>
      </c>
    </row>
    <row r="23" customFormat="false" ht="15.75" hidden="false" customHeight="true" outlineLevel="0" collapsed="false">
      <c r="B23" s="19" t="s">
        <v>140</v>
      </c>
      <c r="C23" s="20"/>
      <c r="D23" s="20"/>
      <c r="E23" s="20"/>
      <c r="F23" s="20"/>
      <c r="G23" s="20"/>
      <c r="H23" s="20"/>
    </row>
    <row r="24" customFormat="false" ht="15.75" hidden="false" customHeight="true" outlineLevel="0" collapsed="false">
      <c r="B24" s="21" t="s">
        <v>141</v>
      </c>
      <c r="C24" s="21" t="s">
        <v>105</v>
      </c>
      <c r="D24" s="21" t="s">
        <v>106</v>
      </c>
      <c r="E24" s="21" t="s">
        <v>107</v>
      </c>
      <c r="F24" s="21" t="s">
        <v>108</v>
      </c>
      <c r="G24" s="21" t="s">
        <v>109</v>
      </c>
      <c r="H24" s="21" t="s">
        <v>142</v>
      </c>
    </row>
    <row r="25" customFormat="false" ht="15.75" hidden="false" customHeight="true" outlineLevel="0" collapsed="false">
      <c r="B25" s="22" t="s">
        <v>143</v>
      </c>
      <c r="C25" s="33" t="n">
        <v>1</v>
      </c>
      <c r="D25" s="33" t="n">
        <v>1</v>
      </c>
      <c r="E25" s="33" t="n">
        <v>1</v>
      </c>
      <c r="F25" s="33" t="n">
        <v>1</v>
      </c>
      <c r="G25" s="33" t="n">
        <v>1</v>
      </c>
      <c r="H25" s="24" t="s">
        <v>144</v>
      </c>
    </row>
    <row r="26" customFormat="false" ht="15.75" hidden="false" customHeight="true" outlineLevel="0" collapsed="false">
      <c r="B26" s="22" t="s">
        <v>145</v>
      </c>
      <c r="C26" s="33" t="n">
        <v>1</v>
      </c>
      <c r="D26" s="33" t="n">
        <f aca="false">C26*(1+$C$14)</f>
        <v>1.08</v>
      </c>
      <c r="E26" s="33" t="n">
        <f aca="false">D26*(1+$C$14)</f>
        <v>1.1664</v>
      </c>
      <c r="F26" s="33" t="n">
        <f aca="false">E26*(1+$C$14)</f>
        <v>1.259712</v>
      </c>
      <c r="G26" s="33" t="n">
        <f aca="false">F26*(1+$C$14)</f>
        <v>1.36048896</v>
      </c>
      <c r="H26" s="24" t="s">
        <v>146</v>
      </c>
    </row>
    <row r="27" customFormat="false" ht="15.75" hidden="false" customHeight="true" outlineLevel="0" collapsed="false">
      <c r="B27" s="22" t="s">
        <v>147</v>
      </c>
      <c r="C27" s="33" t="n">
        <v>1</v>
      </c>
      <c r="D27" s="33" t="n">
        <f aca="false">C27*(1+$C$15)</f>
        <v>1.12</v>
      </c>
      <c r="E27" s="33" t="n">
        <f aca="false">D27*(1+$C$15)</f>
        <v>1.2544</v>
      </c>
      <c r="F27" s="33" t="n">
        <f aca="false">E27*(1+$C$15)</f>
        <v>1.404928</v>
      </c>
      <c r="G27" s="33" t="n">
        <f aca="false">F27*(1+$C$15)</f>
        <v>1.57351936</v>
      </c>
      <c r="H27" s="24" t="s">
        <v>148</v>
      </c>
    </row>
    <row r="28" customFormat="false" ht="15.75" hidden="false" customHeight="true" outlineLevel="0" collapsed="false">
      <c r="B28" s="22" t="s">
        <v>149</v>
      </c>
      <c r="C28" s="33" t="n">
        <f aca="false">C7/$C$7</f>
        <v>1</v>
      </c>
      <c r="D28" s="33" t="n">
        <f aca="false">D7/$C$7</f>
        <v>3</v>
      </c>
      <c r="E28" s="33" t="n">
        <f aca="false">E7/$C$7</f>
        <v>6.25</v>
      </c>
      <c r="F28" s="33" t="n">
        <f aca="false">F7/$C$7</f>
        <v>10</v>
      </c>
      <c r="G28" s="33" t="n">
        <f aca="false">G7/$C$7</f>
        <v>15</v>
      </c>
      <c r="H28" s="24" t="s">
        <v>150</v>
      </c>
    </row>
    <row r="29" customFormat="false" ht="15.75" hidden="false" customHeight="true" outlineLevel="0" collapsed="false">
      <c r="B29" s="22" t="s">
        <v>151</v>
      </c>
      <c r="C29" s="33" t="n">
        <f aca="false">C8/$C$8</f>
        <v>1</v>
      </c>
      <c r="D29" s="33" t="n">
        <f aca="false">D8/$C$8</f>
        <v>4</v>
      </c>
      <c r="E29" s="33" t="n">
        <f aca="false">E8/$C$8</f>
        <v>10</v>
      </c>
      <c r="F29" s="33" t="n">
        <f aca="false">F8/$C$8</f>
        <v>18.3333333333333</v>
      </c>
      <c r="G29" s="33" t="n">
        <f aca="false">G8/$C$8</f>
        <v>30</v>
      </c>
      <c r="H29" s="24" t="s">
        <v>152</v>
      </c>
    </row>
    <row r="30" customFormat="false" ht="15.75" hidden="false" customHeight="true" outlineLevel="0" collapsed="false">
      <c r="B30" s="22" t="s">
        <v>153</v>
      </c>
      <c r="C30" s="33" t="n">
        <f aca="false">C10/$C$10</f>
        <v>1</v>
      </c>
      <c r="D30" s="33" t="n">
        <f aca="false">D10/$C$10</f>
        <v>4.2</v>
      </c>
      <c r="E30" s="33" t="n">
        <f aca="false">E10/$C$10</f>
        <v>11</v>
      </c>
      <c r="F30" s="33" t="n">
        <f aca="false">F10/$C$10</f>
        <v>21.0833333333333</v>
      </c>
      <c r="G30" s="33" t="n">
        <f aca="false">G10/$C$10</f>
        <v>36</v>
      </c>
      <c r="H30" s="24" t="s">
        <v>154</v>
      </c>
    </row>
    <row r="31" customFormat="false" ht="15.75" hidden="false" customHeight="true" outlineLevel="0" collapsed="false">
      <c r="B31" s="1" t="s">
        <v>155</v>
      </c>
      <c r="C31" s="1" t="n">
        <f aca="false">(C7/$C$7)^0.7</f>
        <v>1</v>
      </c>
      <c r="D31" s="1" t="n">
        <f aca="false">(D7/$C$7)^0.7</f>
        <v>2.15766927997459</v>
      </c>
      <c r="E31" s="1" t="n">
        <f aca="false">(E7/$C$7)^0.7</f>
        <v>3.60674976476803</v>
      </c>
      <c r="F31" s="1" t="n">
        <f aca="false">(F7/$C$7)^0.7</f>
        <v>5.01187233627272</v>
      </c>
      <c r="G31" s="1" t="n">
        <f aca="false">(G7/$C$7)^0.7</f>
        <v>6.65677505147513</v>
      </c>
      <c r="H31" s="1" t="s">
        <v>156</v>
      </c>
    </row>
    <row r="32" customFormat="false" ht="15" hidden="false" customHeight="true" outlineLevel="0" collapsed="false">
      <c r="B32" s="34" t="s">
        <v>157</v>
      </c>
      <c r="C32" s="34"/>
      <c r="D32" s="34"/>
      <c r="E32" s="34"/>
      <c r="F32" s="34"/>
      <c r="G32" s="34"/>
      <c r="H32" s="34"/>
    </row>
    <row r="33" customFormat="false" ht="15.75" hidden="false" customHeight="true" outlineLevel="0" collapsed="false">
      <c r="B33" s="34" t="s">
        <v>158</v>
      </c>
      <c r="C33" s="34"/>
      <c r="D33" s="34"/>
      <c r="E33" s="34"/>
      <c r="F33" s="34"/>
      <c r="G33" s="34"/>
      <c r="H33" s="34"/>
    </row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B32:H33"/>
  </mergeCells>
  <dataValidations count="1">
    <dataValidation allowBlank="false" errorStyle="stop" operator="between" showDropDown="false" showErrorMessage="false" showInputMessage="false" sqref="C21" type="list">
      <formula1>"0,1"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000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D3" activeCellId="0" sqref="D3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4"/>
    <col collapsed="false" customWidth="true" hidden="false" outlineLevel="0" max="3" min="3" style="1" width="16"/>
    <col collapsed="false" customWidth="true" hidden="false" outlineLevel="0" max="4" min="4" style="1" width="15"/>
    <col collapsed="false" customWidth="true" hidden="false" outlineLevel="0" max="10" min="5" style="1" width="14"/>
    <col collapsed="false" customWidth="true" hidden="false" outlineLevel="0" max="11" min="11" style="1" width="10"/>
    <col collapsed="false" customWidth="true" hidden="false" outlineLevel="0" max="12" min="12" style="1" width="46"/>
    <col collapsed="false" customWidth="true" hidden="false" outlineLevel="0" max="26" min="13" style="1" width="8.71"/>
  </cols>
  <sheetData>
    <row r="2" customFormat="false" ht="17.35" hidden="false" customHeight="false" outlineLevel="0" collapsed="false">
      <c r="B2" s="2" t="s">
        <v>287</v>
      </c>
    </row>
    <row r="3" customFormat="false" ht="15" hidden="false" customHeight="false" outlineLevel="0" collapsed="false">
      <c r="B3" s="18" t="s">
        <v>160</v>
      </c>
    </row>
    <row r="5" customFormat="false" ht="31.5" hidden="false" customHeight="true" outlineLevel="0" collapsed="false">
      <c r="B5" s="21" t="s">
        <v>161</v>
      </c>
      <c r="C5" s="21" t="s">
        <v>162</v>
      </c>
      <c r="D5" s="21" t="s">
        <v>163</v>
      </c>
      <c r="E5" s="21" t="s">
        <v>105</v>
      </c>
      <c r="F5" s="21" t="s">
        <v>106</v>
      </c>
      <c r="G5" s="21" t="s">
        <v>107</v>
      </c>
      <c r="H5" s="21" t="s">
        <v>108</v>
      </c>
      <c r="I5" s="21" t="s">
        <v>109</v>
      </c>
      <c r="J5" s="21" t="s">
        <v>164</v>
      </c>
      <c r="K5" s="21" t="s">
        <v>165</v>
      </c>
      <c r="L5" s="21" t="s">
        <v>110</v>
      </c>
    </row>
    <row r="6" customFormat="false" ht="15" hidden="false" customHeight="false" outlineLevel="0" collapsed="false">
      <c r="B6" s="19" t="s">
        <v>166</v>
      </c>
      <c r="C6" s="20"/>
      <c r="D6" s="20"/>
      <c r="E6" s="20"/>
      <c r="F6" s="20"/>
      <c r="G6" s="20"/>
      <c r="H6" s="20"/>
      <c r="I6" s="20"/>
      <c r="J6" s="20"/>
      <c r="K6" s="20"/>
      <c r="L6" s="20"/>
    </row>
    <row r="7" customFormat="false" ht="22.35" hidden="false" customHeight="false" outlineLevel="0" collapsed="false">
      <c r="B7" s="22" t="s">
        <v>167</v>
      </c>
      <c r="C7" s="35" t="s">
        <v>155</v>
      </c>
      <c r="D7" s="36" t="n">
        <v>96000</v>
      </c>
      <c r="E7" s="37" t="n">
        <f aca="false">IF($D7="","",$D7*INDEX('Допущения C'!$C$25:$G$31,MATCH($C7,'Допущения C'!$B$25:$B$31,0),1))</f>
        <v>96000</v>
      </c>
      <c r="F7" s="37" t="n">
        <f aca="false">IF($D7="","",$D7*INDEX('Допущения C'!$C$25:$G$31,MATCH($C7,'Допущения C'!$B$25:$B$31,0),2))</f>
        <v>207136.250877561</v>
      </c>
      <c r="G7" s="37" t="n">
        <f aca="false">IF($D7="","",$D7*INDEX('Допущения C'!$C$25:$G$31,MATCH($C7,'Допущения C'!$B$25:$B$31,0),3))</f>
        <v>346247.977417731</v>
      </c>
      <c r="H7" s="37" t="n">
        <f aca="false">IF($D7="","",$D7*INDEX('Допущения C'!$C$25:$G$31,MATCH($C7,'Допущения C'!$B$25:$B$31,0),4))</f>
        <v>481139.744282181</v>
      </c>
      <c r="I7" s="37" t="n">
        <f aca="false">IF($D7="","",$D7*INDEX('Допущения C'!$C$25:$G$31,MATCH($C7,'Допущения C'!$B$25:$B$31,0),5))</f>
        <v>639050.404941612</v>
      </c>
      <c r="J7" s="37" t="n">
        <f aca="false">SUM(E7:I7)</f>
        <v>1769574.37751909</v>
      </c>
      <c r="K7" s="38"/>
      <c r="L7" s="39" t="s">
        <v>288</v>
      </c>
    </row>
    <row r="8" customFormat="false" ht="15" hidden="false" customHeight="false" outlineLevel="0" collapsed="false">
      <c r="B8" s="22" t="s">
        <v>169</v>
      </c>
      <c r="C8" s="35" t="s">
        <v>155</v>
      </c>
      <c r="D8" s="36" t="n">
        <v>24000</v>
      </c>
      <c r="E8" s="37" t="n">
        <f aca="false">IF($D8="","",$D8*INDEX('Допущения C'!$C$25:$G$31,MATCH($C8,'Допущения C'!$B$25:$B$31,0),1))</f>
        <v>24000</v>
      </c>
      <c r="F8" s="37" t="n">
        <f aca="false">IF($D8="","",$D8*INDEX('Допущения C'!$C$25:$G$31,MATCH($C8,'Допущения C'!$B$25:$B$31,0),2))</f>
        <v>51784.0627193902</v>
      </c>
      <c r="G8" s="37" t="n">
        <f aca="false">IF($D8="","",$D8*INDEX('Допущения C'!$C$25:$G$31,MATCH($C8,'Допущения C'!$B$25:$B$31,0),3))</f>
        <v>86561.9943544328</v>
      </c>
      <c r="H8" s="37" t="n">
        <f aca="false">IF($D8="","",$D8*INDEX('Допущения C'!$C$25:$G$31,MATCH($C8,'Допущения C'!$B$25:$B$31,0),4))</f>
        <v>120284.936070545</v>
      </c>
      <c r="I8" s="37" t="n">
        <f aca="false">IF($D8="","",$D8*INDEX('Допущения C'!$C$25:$G$31,MATCH($C8,'Допущения C'!$B$25:$B$31,0),5))</f>
        <v>159762.601235403</v>
      </c>
      <c r="J8" s="37" t="n">
        <f aca="false">SUM(E8:I8)</f>
        <v>442393.594379771</v>
      </c>
      <c r="K8" s="38"/>
      <c r="L8" s="39" t="s">
        <v>289</v>
      </c>
    </row>
    <row r="9" customFormat="false" ht="15" hidden="false" customHeight="false" outlineLevel="0" collapsed="false">
      <c r="B9" s="22" t="s">
        <v>171</v>
      </c>
      <c r="C9" s="35" t="s">
        <v>149</v>
      </c>
      <c r="D9" s="36" t="n">
        <v>6000</v>
      </c>
      <c r="E9" s="37" t="n">
        <f aca="false">IF($D9="","",$D9*INDEX('Допущения C'!$C$25:$G$31,MATCH($C9,'Допущения C'!$B$25:$B$31,0),1))</f>
        <v>6000</v>
      </c>
      <c r="F9" s="37" t="n">
        <f aca="false">IF($D9="","",$D9*INDEX('Допущения C'!$C$25:$G$31,MATCH($C9,'Допущения C'!$B$25:$B$31,0),2))</f>
        <v>18000</v>
      </c>
      <c r="G9" s="37" t="n">
        <f aca="false">IF($D9="","",$D9*INDEX('Допущения C'!$C$25:$G$31,MATCH($C9,'Допущения C'!$B$25:$B$31,0),3))</f>
        <v>37500</v>
      </c>
      <c r="H9" s="37" t="n">
        <f aca="false">IF($D9="","",$D9*INDEX('Допущения C'!$C$25:$G$31,MATCH($C9,'Допущения C'!$B$25:$B$31,0),4))</f>
        <v>60000</v>
      </c>
      <c r="I9" s="37" t="n">
        <f aca="false">IF($D9="","",$D9*INDEX('Допущения C'!$C$25:$G$31,MATCH($C9,'Допущения C'!$B$25:$B$31,0),5))</f>
        <v>90000</v>
      </c>
      <c r="J9" s="37" t="n">
        <f aca="false">SUM(E9:I9)</f>
        <v>211500</v>
      </c>
      <c r="K9" s="38"/>
      <c r="L9" s="39" t="s">
        <v>290</v>
      </c>
    </row>
    <row r="10" customFormat="false" ht="15" hidden="false" customHeight="false" outlineLevel="0" collapsed="false">
      <c r="B10" s="22" t="s">
        <v>173</v>
      </c>
      <c r="C10" s="35" t="s">
        <v>149</v>
      </c>
      <c r="D10" s="36" t="n">
        <v>6000</v>
      </c>
      <c r="E10" s="37" t="n">
        <f aca="false">IF($D10="","",$D10*INDEX('Допущения C'!$C$25:$G$31,MATCH($C10,'Допущения C'!$B$25:$B$31,0),1))</f>
        <v>6000</v>
      </c>
      <c r="F10" s="37" t="n">
        <f aca="false">IF($D10="","",$D10*INDEX('Допущения C'!$C$25:$G$31,MATCH($C10,'Допущения C'!$B$25:$B$31,0),2))</f>
        <v>18000</v>
      </c>
      <c r="G10" s="37" t="n">
        <f aca="false">IF($D10="","",$D10*INDEX('Допущения C'!$C$25:$G$31,MATCH($C10,'Допущения C'!$B$25:$B$31,0),3))</f>
        <v>37500</v>
      </c>
      <c r="H10" s="37" t="n">
        <f aca="false">IF($D10="","",$D10*INDEX('Допущения C'!$C$25:$G$31,MATCH($C10,'Допущения C'!$B$25:$B$31,0),4))</f>
        <v>60000</v>
      </c>
      <c r="I10" s="37" t="n">
        <f aca="false">IF($D10="","",$D10*INDEX('Допущения C'!$C$25:$G$31,MATCH($C10,'Допущения C'!$B$25:$B$31,0),5))</f>
        <v>90000</v>
      </c>
      <c r="J10" s="37" t="n">
        <f aca="false">SUM(E10:I10)</f>
        <v>211500</v>
      </c>
      <c r="K10" s="38"/>
      <c r="L10" s="39" t="s">
        <v>274</v>
      </c>
    </row>
    <row r="11" customFormat="false" ht="15" hidden="false" customHeight="false" outlineLevel="0" collapsed="false">
      <c r="B11" s="22" t="s">
        <v>175</v>
      </c>
      <c r="C11" s="35" t="s">
        <v>155</v>
      </c>
      <c r="D11" s="36" t="n">
        <v>21600</v>
      </c>
      <c r="E11" s="37" t="n">
        <f aca="false">IF($D11="","",$D11*INDEX('Допущения C'!$C$25:$G$31,MATCH($C11,'Допущения C'!$B$25:$B$31,0),1))</f>
        <v>21600</v>
      </c>
      <c r="F11" s="37" t="n">
        <f aca="false">IF($D11="","",$D11*INDEX('Допущения C'!$C$25:$G$31,MATCH($C11,'Допущения C'!$B$25:$B$31,0),2))</f>
        <v>46605.6564474512</v>
      </c>
      <c r="G11" s="37" t="n">
        <f aca="false">IF($D11="","",$D11*INDEX('Допущения C'!$C$25:$G$31,MATCH($C11,'Допущения C'!$B$25:$B$31,0),3))</f>
        <v>77905.7949189895</v>
      </c>
      <c r="H11" s="37" t="n">
        <f aca="false">IF($D11="","",$D11*INDEX('Допущения C'!$C$25:$G$31,MATCH($C11,'Допущения C'!$B$25:$B$31,0),4))</f>
        <v>108256.442463491</v>
      </c>
      <c r="I11" s="37" t="n">
        <f aca="false">IF($D11="","",$D11*INDEX('Допущения C'!$C$25:$G$31,MATCH($C11,'Допущения C'!$B$25:$B$31,0),5))</f>
        <v>143786.341111863</v>
      </c>
      <c r="J11" s="37" t="n">
        <f aca="false">SUM(E11:I11)</f>
        <v>398154.234941794</v>
      </c>
      <c r="K11" s="38"/>
      <c r="L11" s="39" t="s">
        <v>291</v>
      </c>
    </row>
    <row r="12" customFormat="false" ht="15" hidden="false" customHeight="false" outlineLevel="0" collapsed="false">
      <c r="B12" s="22" t="s">
        <v>177</v>
      </c>
      <c r="C12" s="35" t="s">
        <v>145</v>
      </c>
      <c r="D12" s="36" t="n">
        <v>36000</v>
      </c>
      <c r="E12" s="37" t="n">
        <f aca="false">IF($D12="","",$D12*INDEX('Допущения C'!$C$25:$G$31,MATCH($C12,'Допущения C'!$B$25:$B$31,0),1))</f>
        <v>36000</v>
      </c>
      <c r="F12" s="37" t="n">
        <f aca="false">IF($D12="","",$D12*INDEX('Допущения C'!$C$25:$G$31,MATCH($C12,'Допущения C'!$B$25:$B$31,0),2))</f>
        <v>38880</v>
      </c>
      <c r="G12" s="37" t="n">
        <f aca="false">IF($D12="","",$D12*INDEX('Допущения C'!$C$25:$G$31,MATCH($C12,'Допущения C'!$B$25:$B$31,0),3))</f>
        <v>41990.4</v>
      </c>
      <c r="H12" s="37" t="n">
        <f aca="false">IF($D12="","",$D12*INDEX('Допущения C'!$C$25:$G$31,MATCH($C12,'Допущения C'!$B$25:$B$31,0),4))</f>
        <v>45349.632</v>
      </c>
      <c r="I12" s="37" t="n">
        <f aca="false">IF($D12="","",$D12*INDEX('Допущения C'!$C$25:$G$31,MATCH($C12,'Допущения C'!$B$25:$B$31,0),5))</f>
        <v>48977.60256</v>
      </c>
      <c r="J12" s="37" t="n">
        <f aca="false">SUM(E12:I12)</f>
        <v>211197.63456</v>
      </c>
      <c r="K12" s="38"/>
      <c r="L12" s="39" t="s">
        <v>292</v>
      </c>
    </row>
    <row r="13" customFormat="false" ht="15" hidden="false" customHeight="false" outlineLevel="0" collapsed="false">
      <c r="B13" s="22" t="s">
        <v>179</v>
      </c>
      <c r="C13" s="35" t="s">
        <v>145</v>
      </c>
      <c r="D13" s="36" t="n">
        <v>18000</v>
      </c>
      <c r="E13" s="37" t="n">
        <f aca="false">IF($D13="","",$D13*INDEX('Допущения C'!$C$25:$G$31,MATCH($C13,'Допущения C'!$B$25:$B$31,0),1))</f>
        <v>18000</v>
      </c>
      <c r="F13" s="37" t="n">
        <f aca="false">IF($D13="","",$D13*INDEX('Допущения C'!$C$25:$G$31,MATCH($C13,'Допущения C'!$B$25:$B$31,0),2))</f>
        <v>19440</v>
      </c>
      <c r="G13" s="37" t="n">
        <f aca="false">IF($D13="","",$D13*INDEX('Допущения C'!$C$25:$G$31,MATCH($C13,'Допущения C'!$B$25:$B$31,0),3))</f>
        <v>20995.2</v>
      </c>
      <c r="H13" s="37" t="n">
        <f aca="false">IF($D13="","",$D13*INDEX('Допущения C'!$C$25:$G$31,MATCH($C13,'Допущения C'!$B$25:$B$31,0),4))</f>
        <v>22674.816</v>
      </c>
      <c r="I13" s="37" t="n">
        <f aca="false">IF($D13="","",$D13*INDEX('Допущения C'!$C$25:$G$31,MATCH($C13,'Допущения C'!$B$25:$B$31,0),5))</f>
        <v>24488.80128</v>
      </c>
      <c r="J13" s="37" t="n">
        <f aca="false">SUM(E13:I13)</f>
        <v>105598.81728</v>
      </c>
      <c r="K13" s="38"/>
      <c r="L13" s="39" t="s">
        <v>293</v>
      </c>
    </row>
    <row r="14" customFormat="false" ht="15" hidden="false" customHeight="false" outlineLevel="0" collapsed="false">
      <c r="B14" s="22"/>
      <c r="C14" s="40" t="s">
        <v>143</v>
      </c>
      <c r="D14" s="29"/>
      <c r="E14" s="37" t="str">
        <f aca="false">IF($D14="","",$D14*INDEX('Допущения C'!$C$25:$G$31,MATCH($C14,'Допущения C'!$B$25:$B$31,0),1))</f>
        <v/>
      </c>
      <c r="F14" s="37" t="str">
        <f aca="false">IF($D14="","",$D14*INDEX('Допущения C'!$C$25:$G$31,MATCH($C14,'Допущения C'!$B$25:$B$31,0),2))</f>
        <v/>
      </c>
      <c r="G14" s="37" t="str">
        <f aca="false">IF($D14="","",$D14*INDEX('Допущения C'!$C$25:$G$31,MATCH($C14,'Допущения C'!$B$25:$B$31,0),3))</f>
        <v/>
      </c>
      <c r="H14" s="37" t="str">
        <f aca="false">IF($D14="","",$D14*INDEX('Допущения C'!$C$25:$G$31,MATCH($C14,'Допущения C'!$B$25:$B$31,0),4))</f>
        <v/>
      </c>
      <c r="I14" s="37" t="str">
        <f aca="false">IF($D14="","",$D14*INDEX('Допущения C'!$C$25:$G$31,MATCH($C14,'Допущения C'!$B$25:$B$31,0),5))</f>
        <v/>
      </c>
      <c r="J14" s="37" t="n">
        <f aca="false">SUM(E14:I14)</f>
        <v>0</v>
      </c>
      <c r="K14" s="38"/>
      <c r="L14" s="39" t="s">
        <v>181</v>
      </c>
    </row>
    <row r="15" customFormat="false" ht="15" hidden="false" customHeight="false" outlineLevel="0" collapsed="false">
      <c r="B15" s="41" t="s">
        <v>182</v>
      </c>
      <c r="C15" s="42"/>
      <c r="D15" s="42"/>
      <c r="E15" s="43" t="n">
        <f aca="false">SUM(E7:E14)</f>
        <v>207600</v>
      </c>
      <c r="F15" s="43" t="n">
        <f aca="false">SUM(F7:F14)</f>
        <v>399845.970044402</v>
      </c>
      <c r="G15" s="43" t="n">
        <f aca="false">SUM(G7:G14)</f>
        <v>648701.366691154</v>
      </c>
      <c r="H15" s="43" t="n">
        <f aca="false">SUM(H7:H14)</f>
        <v>897705.570816218</v>
      </c>
      <c r="I15" s="43" t="n">
        <f aca="false">SUM(I7:I14)</f>
        <v>1196065.75112888</v>
      </c>
      <c r="J15" s="43" t="n">
        <f aca="false">SUM(J7:J14)</f>
        <v>3349918.65868065</v>
      </c>
      <c r="K15" s="44" t="n">
        <f aca="false">IFERROR(J15/$J$51,0)</f>
        <v>0.062537040296543</v>
      </c>
      <c r="L15" s="42"/>
    </row>
    <row r="16" customFormat="false" ht="15" hidden="false" customHeight="false" outlineLevel="0" collapsed="false">
      <c r="C16" s="45"/>
    </row>
    <row r="17" customFormat="false" ht="15" hidden="false" customHeight="false" outlineLevel="0" collapsed="false">
      <c r="B17" s="19" t="s">
        <v>183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</row>
    <row r="18" customFormat="false" ht="15" hidden="false" customHeight="false" outlineLevel="0" collapsed="false">
      <c r="B18" s="22" t="s">
        <v>184</v>
      </c>
      <c r="C18" s="35" t="s">
        <v>155</v>
      </c>
      <c r="D18" s="36" t="n">
        <v>18000</v>
      </c>
      <c r="E18" s="37" t="n">
        <f aca="false">IF($D18="","",$D18*INDEX('Допущения C'!$C$25:$G$31,MATCH($C18,'Допущения C'!$B$25:$B$31,0),1))</f>
        <v>18000</v>
      </c>
      <c r="F18" s="37" t="n">
        <f aca="false">IF($D18="","",$D18*INDEX('Допущения C'!$C$25:$G$31,MATCH($C18,'Допущения C'!$B$25:$B$31,0),2))</f>
        <v>38838.0470395427</v>
      </c>
      <c r="G18" s="37" t="n">
        <f aca="false">IF($D18="","",$D18*INDEX('Допущения C'!$C$25:$G$31,MATCH($C18,'Допущения C'!$B$25:$B$31,0),3))</f>
        <v>64921.4957658246</v>
      </c>
      <c r="H18" s="37" t="n">
        <f aca="false">IF($D18="","",$D18*INDEX('Допущения C'!$C$25:$G$31,MATCH($C18,'Допущения C'!$B$25:$B$31,0),4))</f>
        <v>90213.702052909</v>
      </c>
      <c r="I18" s="37" t="n">
        <f aca="false">IF($D18="","",$D18*INDEX('Допущения C'!$C$25:$G$31,MATCH($C18,'Допущения C'!$B$25:$B$31,0),5))</f>
        <v>119821.950926552</v>
      </c>
      <c r="J18" s="37" t="n">
        <f aca="false">SUM(E18:I18)</f>
        <v>331795.195784829</v>
      </c>
      <c r="K18" s="38"/>
      <c r="L18" s="39" t="s">
        <v>294</v>
      </c>
    </row>
    <row r="19" customFormat="false" ht="15" hidden="false" customHeight="false" outlineLevel="0" collapsed="false">
      <c r="B19" s="22" t="s">
        <v>186</v>
      </c>
      <c r="C19" s="35" t="s">
        <v>145</v>
      </c>
      <c r="D19" s="36" t="n">
        <v>6000</v>
      </c>
      <c r="E19" s="37" t="n">
        <f aca="false">IF($D19="","",$D19*INDEX('Допущения C'!$C$25:$G$31,MATCH($C19,'Допущения C'!$B$25:$B$31,0),1))</f>
        <v>6000</v>
      </c>
      <c r="F19" s="37" t="n">
        <f aca="false">IF($D19="","",$D19*INDEX('Допущения C'!$C$25:$G$31,MATCH($C19,'Допущения C'!$B$25:$B$31,0),2))</f>
        <v>6480</v>
      </c>
      <c r="G19" s="37" t="n">
        <f aca="false">IF($D19="","",$D19*INDEX('Допущения C'!$C$25:$G$31,MATCH($C19,'Допущения C'!$B$25:$B$31,0),3))</f>
        <v>6998.4</v>
      </c>
      <c r="H19" s="37" t="n">
        <f aca="false">IF($D19="","",$D19*INDEX('Допущения C'!$C$25:$G$31,MATCH($C19,'Допущения C'!$B$25:$B$31,0),4))</f>
        <v>7558.272</v>
      </c>
      <c r="I19" s="37" t="n">
        <f aca="false">IF($D19="","",$D19*INDEX('Допущения C'!$C$25:$G$31,MATCH($C19,'Допущения C'!$B$25:$B$31,0),5))</f>
        <v>8162.93376</v>
      </c>
      <c r="J19" s="37" t="n">
        <f aca="false">SUM(E19:I19)</f>
        <v>35199.60576</v>
      </c>
      <c r="K19" s="38"/>
      <c r="L19" s="39" t="s">
        <v>295</v>
      </c>
    </row>
    <row r="20" customFormat="false" ht="15" hidden="false" customHeight="false" outlineLevel="0" collapsed="false">
      <c r="B20" s="22" t="s">
        <v>188</v>
      </c>
      <c r="C20" s="35" t="s">
        <v>149</v>
      </c>
      <c r="D20" s="36" t="n">
        <v>6000</v>
      </c>
      <c r="E20" s="37" t="n">
        <f aca="false">IF($D20="","",$D20*INDEX('Допущения C'!$C$25:$G$31,MATCH($C20,'Допущения C'!$B$25:$B$31,0),1))</f>
        <v>6000</v>
      </c>
      <c r="F20" s="37" t="n">
        <f aca="false">IF($D20="","",$D20*INDEX('Допущения C'!$C$25:$G$31,MATCH($C20,'Допущения C'!$B$25:$B$31,0),2))</f>
        <v>18000</v>
      </c>
      <c r="G20" s="37" t="n">
        <f aca="false">IF($D20="","",$D20*INDEX('Допущения C'!$C$25:$G$31,MATCH($C20,'Допущения C'!$B$25:$B$31,0),3))</f>
        <v>37500</v>
      </c>
      <c r="H20" s="37" t="n">
        <f aca="false">IF($D20="","",$D20*INDEX('Допущения C'!$C$25:$G$31,MATCH($C20,'Допущения C'!$B$25:$B$31,0),4))</f>
        <v>60000</v>
      </c>
      <c r="I20" s="37" t="n">
        <f aca="false">IF($D20="","",$D20*INDEX('Допущения C'!$C$25:$G$31,MATCH($C20,'Допущения C'!$B$25:$B$31,0),5))</f>
        <v>90000</v>
      </c>
      <c r="J20" s="37" t="n">
        <f aca="false">SUM(E20:I20)</f>
        <v>211500</v>
      </c>
      <c r="K20" s="38"/>
      <c r="L20" s="39" t="s">
        <v>296</v>
      </c>
    </row>
    <row r="21" customFormat="false" ht="15.75" hidden="false" customHeight="true" outlineLevel="0" collapsed="false">
      <c r="B21" s="22" t="s">
        <v>190</v>
      </c>
      <c r="C21" s="35" t="s">
        <v>145</v>
      </c>
      <c r="D21" s="36" t="n">
        <v>1200</v>
      </c>
      <c r="E21" s="37" t="n">
        <f aca="false">IF($D21="","",$D21*INDEX('Допущения C'!$C$25:$G$31,MATCH($C21,'Допущения C'!$B$25:$B$31,0),1))</f>
        <v>1200</v>
      </c>
      <c r="F21" s="37" t="n">
        <f aca="false">IF($D21="","",$D21*INDEX('Допущения C'!$C$25:$G$31,MATCH($C21,'Допущения C'!$B$25:$B$31,0),2))</f>
        <v>1296</v>
      </c>
      <c r="G21" s="37" t="n">
        <f aca="false">IF($D21="","",$D21*INDEX('Допущения C'!$C$25:$G$31,MATCH($C21,'Допущения C'!$B$25:$B$31,0),3))</f>
        <v>1399.68</v>
      </c>
      <c r="H21" s="37" t="n">
        <f aca="false">IF($D21="","",$D21*INDEX('Допущения C'!$C$25:$G$31,MATCH($C21,'Допущения C'!$B$25:$B$31,0),4))</f>
        <v>1511.6544</v>
      </c>
      <c r="I21" s="37" t="n">
        <f aca="false">IF($D21="","",$D21*INDEX('Допущения C'!$C$25:$G$31,MATCH($C21,'Допущения C'!$B$25:$B$31,0),5))</f>
        <v>1632.586752</v>
      </c>
      <c r="J21" s="37" t="n">
        <f aca="false">SUM(E21:I21)</f>
        <v>7039.921152</v>
      </c>
      <c r="K21" s="38"/>
      <c r="L21" s="39" t="s">
        <v>274</v>
      </c>
    </row>
    <row r="22" customFormat="false" ht="15.75" hidden="false" customHeight="true" outlineLevel="0" collapsed="false">
      <c r="B22" s="22" t="s">
        <v>192</v>
      </c>
      <c r="C22" s="35" t="s">
        <v>145</v>
      </c>
      <c r="D22" s="36" t="n">
        <v>2400</v>
      </c>
      <c r="E22" s="37" t="n">
        <f aca="false">IF($D22="","",$D22*INDEX('Допущения C'!$C$25:$G$31,MATCH($C22,'Допущения C'!$B$25:$B$31,0),1))</f>
        <v>2400</v>
      </c>
      <c r="F22" s="37" t="n">
        <f aca="false">IF($D22="","",$D22*INDEX('Допущения C'!$C$25:$G$31,MATCH($C22,'Допущения C'!$B$25:$B$31,0),2))</f>
        <v>2592</v>
      </c>
      <c r="G22" s="37" t="n">
        <f aca="false">IF($D22="","",$D22*INDEX('Допущения C'!$C$25:$G$31,MATCH($C22,'Допущения C'!$B$25:$B$31,0),3))</f>
        <v>2799.36</v>
      </c>
      <c r="H22" s="37" t="n">
        <f aca="false">IF($D22="","",$D22*INDEX('Допущения C'!$C$25:$G$31,MATCH($C22,'Допущения C'!$B$25:$B$31,0),4))</f>
        <v>3023.3088</v>
      </c>
      <c r="I22" s="37" t="n">
        <f aca="false">IF($D22="","",$D22*INDEX('Допущения C'!$C$25:$G$31,MATCH($C22,'Допущения C'!$B$25:$B$31,0),5))</f>
        <v>3265.173504</v>
      </c>
      <c r="J22" s="37" t="n">
        <f aca="false">SUM(E22:I22)</f>
        <v>14079.842304</v>
      </c>
      <c r="K22" s="38"/>
      <c r="L22" s="39" t="s">
        <v>297</v>
      </c>
    </row>
    <row r="23" customFormat="false" ht="15.75" hidden="false" customHeight="true" outlineLevel="0" collapsed="false">
      <c r="B23" s="22" t="s">
        <v>298</v>
      </c>
      <c r="C23" s="35" t="s">
        <v>143</v>
      </c>
      <c r="D23" s="36" t="n">
        <v>42700</v>
      </c>
      <c r="E23" s="36" t="n">
        <v>42700</v>
      </c>
      <c r="F23" s="36" t="n">
        <v>7700</v>
      </c>
      <c r="G23" s="36" t="n">
        <v>7700</v>
      </c>
      <c r="H23" s="36" t="n">
        <v>7700</v>
      </c>
      <c r="I23" s="36" t="n">
        <v>7700</v>
      </c>
      <c r="J23" s="37" t="n">
        <f aca="false">SUM(E23:I23)</f>
        <v>73500</v>
      </c>
      <c r="K23" s="38"/>
      <c r="L23" s="39" t="s">
        <v>299</v>
      </c>
    </row>
    <row r="24" customFormat="false" ht="15.75" hidden="false" customHeight="true" outlineLevel="0" collapsed="false">
      <c r="B24" s="41" t="s">
        <v>182</v>
      </c>
      <c r="C24" s="42"/>
      <c r="D24" s="42"/>
      <c r="E24" s="43" t="n">
        <f aca="false">SUM(E18:E23)</f>
        <v>76300</v>
      </c>
      <c r="F24" s="43" t="n">
        <f aca="false">SUM(F18:F23)</f>
        <v>74906.0470395427</v>
      </c>
      <c r="G24" s="43" t="n">
        <f aca="false">SUM(G18:G23)</f>
        <v>121318.935765825</v>
      </c>
      <c r="H24" s="43" t="n">
        <f aca="false">SUM(H18:H23)</f>
        <v>170006.937252909</v>
      </c>
      <c r="I24" s="43" t="n">
        <f aca="false">SUM(I18:I23)</f>
        <v>230582.644942552</v>
      </c>
      <c r="J24" s="43" t="n">
        <f aca="false">SUM(J18:J23)</f>
        <v>673114.565000829</v>
      </c>
      <c r="K24" s="44" t="n">
        <f aca="false">IFERROR(J24/$J$51,0)</f>
        <v>0.0125658551638462</v>
      </c>
      <c r="L24" s="42"/>
    </row>
    <row r="25" customFormat="false" ht="15.75" hidden="false" customHeight="true" outlineLevel="0" collapsed="false">
      <c r="C25" s="45"/>
    </row>
    <row r="26" customFormat="false" ht="15.75" hidden="false" customHeight="true" outlineLevel="0" collapsed="false">
      <c r="B26" s="19" t="s">
        <v>194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</row>
    <row r="27" customFormat="false" ht="15.75" hidden="false" customHeight="true" outlineLevel="0" collapsed="false">
      <c r="B27" s="22" t="s">
        <v>195</v>
      </c>
      <c r="C27" s="35" t="s">
        <v>153</v>
      </c>
      <c r="D27" s="36" t="n">
        <f aca="false">'Допущения C'!C10*0.023</f>
        <v>276000</v>
      </c>
      <c r="E27" s="37" t="n">
        <f aca="false">IF($D27="","",$D27*INDEX('Допущения C'!$C$25:$G$31,MATCH($C27,'Допущения C'!$B$25:$B$31,0),1))</f>
        <v>276000</v>
      </c>
      <c r="F27" s="37" t="n">
        <f aca="false">IF($D27="","",$D27*INDEX('Допущения C'!$C$25:$G$31,MATCH($C27,'Допущения C'!$B$25:$B$31,0),2))</f>
        <v>1159200</v>
      </c>
      <c r="G27" s="37" t="n">
        <f aca="false">IF($D27="","",$D27*INDEX('Допущения C'!$C$25:$G$31,MATCH($C27,'Допущения C'!$B$25:$B$31,0),3))</f>
        <v>3036000</v>
      </c>
      <c r="H27" s="37" t="n">
        <f aca="false">IF($D27="","",$D27*INDEX('Допущения C'!$C$25:$G$31,MATCH($C27,'Допущения C'!$B$25:$B$31,0),4))</f>
        <v>5819000</v>
      </c>
      <c r="I27" s="37" t="n">
        <f aca="false">IF($D27="","",$D27*INDEX('Допущения C'!$C$25:$G$31,MATCH($C27,'Допущения C'!$B$25:$B$31,0),5))</f>
        <v>9936000</v>
      </c>
      <c r="J27" s="37" t="n">
        <f aca="false">SUM(E27:I27)</f>
        <v>20226200</v>
      </c>
      <c r="K27" s="38"/>
      <c r="L27" s="39" t="s">
        <v>196</v>
      </c>
    </row>
    <row r="28" customFormat="false" ht="15.75" hidden="false" customHeight="true" outlineLevel="0" collapsed="false">
      <c r="B28" s="22" t="s">
        <v>197</v>
      </c>
      <c r="C28" s="35" t="s">
        <v>151</v>
      </c>
      <c r="D28" s="36" t="n">
        <v>36000</v>
      </c>
      <c r="E28" s="37" t="n">
        <f aca="false">IF($D28="","",$D28*INDEX('Допущения C'!$C$25:$G$31,MATCH($C28,'Допущения C'!$B$25:$B$31,0),1))</f>
        <v>36000</v>
      </c>
      <c r="F28" s="37" t="n">
        <f aca="false">IF($D28="","",$D28*INDEX('Допущения C'!$C$25:$G$31,MATCH($C28,'Допущения C'!$B$25:$B$31,0),2))</f>
        <v>144000</v>
      </c>
      <c r="G28" s="37" t="n">
        <f aca="false">IF($D28="","",$D28*INDEX('Допущения C'!$C$25:$G$31,MATCH($C28,'Допущения C'!$B$25:$B$31,0),3))</f>
        <v>360000</v>
      </c>
      <c r="H28" s="37" t="n">
        <f aca="false">IF($D28="","",$D28*INDEX('Допущения C'!$C$25:$G$31,MATCH($C28,'Допущения C'!$B$25:$B$31,0),4))</f>
        <v>660000</v>
      </c>
      <c r="I28" s="37" t="n">
        <f aca="false">IF($D28="","",$D28*INDEX('Допущения C'!$C$25:$G$31,MATCH($C28,'Допущения C'!$B$25:$B$31,0),5))</f>
        <v>1080000</v>
      </c>
      <c r="J28" s="37" t="n">
        <f aca="false">SUM(E28:I28)</f>
        <v>2280000</v>
      </c>
      <c r="K28" s="38"/>
      <c r="L28" s="39" t="s">
        <v>198</v>
      </c>
    </row>
    <row r="29" customFormat="false" ht="15.75" hidden="false" customHeight="true" outlineLevel="0" collapsed="false">
      <c r="B29" s="22" t="s">
        <v>199</v>
      </c>
      <c r="C29" s="35" t="s">
        <v>151</v>
      </c>
      <c r="D29" s="36" t="n">
        <v>9000</v>
      </c>
      <c r="E29" s="37" t="n">
        <f aca="false">IF($D29="","",$D29*INDEX('Допущения C'!$C$25:$G$31,MATCH($C29,'Допущения C'!$B$25:$B$31,0),1))</f>
        <v>9000</v>
      </c>
      <c r="F29" s="37" t="n">
        <f aca="false">IF($D29="","",$D29*INDEX('Допущения C'!$C$25:$G$31,MATCH($C29,'Допущения C'!$B$25:$B$31,0),2))</f>
        <v>36000</v>
      </c>
      <c r="G29" s="37" t="n">
        <f aca="false">IF($D29="","",$D29*INDEX('Допущения C'!$C$25:$G$31,MATCH($C29,'Допущения C'!$B$25:$B$31,0),3))</f>
        <v>90000</v>
      </c>
      <c r="H29" s="37" t="n">
        <f aca="false">IF($D29="","",$D29*INDEX('Допущения C'!$C$25:$G$31,MATCH($C29,'Допущения C'!$B$25:$B$31,0),4))</f>
        <v>165000</v>
      </c>
      <c r="I29" s="37" t="n">
        <f aca="false">IF($D29="","",$D29*INDEX('Допущения C'!$C$25:$G$31,MATCH($C29,'Допущения C'!$B$25:$B$31,0),5))</f>
        <v>270000</v>
      </c>
      <c r="J29" s="37" t="n">
        <f aca="false">SUM(E29:I29)</f>
        <v>570000</v>
      </c>
      <c r="K29" s="38"/>
      <c r="L29" s="39" t="s">
        <v>200</v>
      </c>
    </row>
    <row r="30" customFormat="false" ht="15.75" hidden="false" customHeight="true" outlineLevel="0" collapsed="false">
      <c r="B30" s="22" t="s">
        <v>201</v>
      </c>
      <c r="C30" s="35" t="s">
        <v>151</v>
      </c>
      <c r="D30" s="36" t="n">
        <v>60000</v>
      </c>
      <c r="E30" s="37" t="n">
        <f aca="false">IF($D30="","",$D30*INDEX('Допущения C'!$C$25:$G$31,MATCH($C30,'Допущения C'!$B$25:$B$31,0),1))</f>
        <v>60000</v>
      </c>
      <c r="F30" s="37" t="n">
        <f aca="false">IF($D30="","",$D30*INDEX('Допущения C'!$C$25:$G$31,MATCH($C30,'Допущения C'!$B$25:$B$31,0),2))</f>
        <v>240000</v>
      </c>
      <c r="G30" s="37" t="n">
        <f aca="false">IF($D30="","",$D30*INDEX('Допущения C'!$C$25:$G$31,MATCH($C30,'Допущения C'!$B$25:$B$31,0),3))</f>
        <v>600000</v>
      </c>
      <c r="H30" s="37" t="n">
        <f aca="false">IF($D30="","",$D30*INDEX('Допущения C'!$C$25:$G$31,MATCH($C30,'Допущения C'!$B$25:$B$31,0),4))</f>
        <v>1100000</v>
      </c>
      <c r="I30" s="37" t="n">
        <f aca="false">IF($D30="","",$D30*INDEX('Допущения C'!$C$25:$G$31,MATCH($C30,'Допущения C'!$B$25:$B$31,0),5))</f>
        <v>1800000</v>
      </c>
      <c r="J30" s="37" t="n">
        <f aca="false">SUM(E30:I30)</f>
        <v>3800000</v>
      </c>
      <c r="K30" s="38"/>
      <c r="L30" s="39" t="s">
        <v>202</v>
      </c>
    </row>
    <row r="31" customFormat="false" ht="15.75" hidden="false" customHeight="true" outlineLevel="0" collapsed="false">
      <c r="B31" s="22" t="s">
        <v>203</v>
      </c>
      <c r="C31" s="35" t="s">
        <v>151</v>
      </c>
      <c r="D31" s="36" t="n">
        <v>7200</v>
      </c>
      <c r="E31" s="37" t="n">
        <f aca="false">IF($D31="","",$D31*INDEX('Допущения C'!$C$25:$G$31,MATCH($C31,'Допущения C'!$B$25:$B$31,0),1))</f>
        <v>7200</v>
      </c>
      <c r="F31" s="37" t="n">
        <f aca="false">IF($D31="","",$D31*INDEX('Допущения C'!$C$25:$G$31,MATCH($C31,'Допущения C'!$B$25:$B$31,0),2))</f>
        <v>28800</v>
      </c>
      <c r="G31" s="37" t="n">
        <f aca="false">IF($D31="","",$D31*INDEX('Допущения C'!$C$25:$G$31,MATCH($C31,'Допущения C'!$B$25:$B$31,0),3))</f>
        <v>72000</v>
      </c>
      <c r="H31" s="37" t="n">
        <f aca="false">IF($D31="","",$D31*INDEX('Допущения C'!$C$25:$G$31,MATCH($C31,'Допущения C'!$B$25:$B$31,0),4))</f>
        <v>132000</v>
      </c>
      <c r="I31" s="37" t="n">
        <f aca="false">IF($D31="","",$D31*INDEX('Допущения C'!$C$25:$G$31,MATCH($C31,'Допущения C'!$B$25:$B$31,0),5))</f>
        <v>216000</v>
      </c>
      <c r="J31" s="37" t="n">
        <f aca="false">SUM(E31:I31)</f>
        <v>456000</v>
      </c>
      <c r="K31" s="38"/>
      <c r="L31" s="39" t="s">
        <v>204</v>
      </c>
    </row>
    <row r="32" customFormat="false" ht="15.75" hidden="false" customHeight="true" outlineLevel="0" collapsed="false">
      <c r="B32" s="41" t="s">
        <v>182</v>
      </c>
      <c r="C32" s="42"/>
      <c r="D32" s="42"/>
      <c r="E32" s="43" t="n">
        <f aca="false">SUM(E27:E31)</f>
        <v>388200</v>
      </c>
      <c r="F32" s="43" t="n">
        <f aca="false">SUM(F27:F31)</f>
        <v>1608000</v>
      </c>
      <c r="G32" s="43" t="n">
        <f aca="false">SUM(G27:G31)</f>
        <v>4158000</v>
      </c>
      <c r="H32" s="43" t="n">
        <f aca="false">SUM(H27:H31)</f>
        <v>7876000</v>
      </c>
      <c r="I32" s="43" t="n">
        <f aca="false">SUM(I27:I31)</f>
        <v>13302000</v>
      </c>
      <c r="J32" s="43" t="n">
        <f aca="false">SUM(J27:J31)</f>
        <v>27332200</v>
      </c>
      <c r="K32" s="44" t="n">
        <f aca="false">IFERROR(J32/$J$51,0)</f>
        <v>0.510243700504168</v>
      </c>
      <c r="L32" s="42"/>
    </row>
    <row r="33" customFormat="false" ht="15.75" hidden="false" customHeight="true" outlineLevel="0" collapsed="false">
      <c r="C33" s="45"/>
    </row>
    <row r="34" customFormat="false" ht="15.75" hidden="false" customHeight="true" outlineLevel="0" collapsed="false">
      <c r="B34" s="19" t="s">
        <v>205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</row>
    <row r="35" customFormat="false" ht="15.75" hidden="false" customHeight="true" outlineLevel="0" collapsed="false">
      <c r="B35" s="22" t="s">
        <v>206</v>
      </c>
      <c r="C35" s="35" t="s">
        <v>147</v>
      </c>
      <c r="D35" s="36" t="n">
        <v>792000</v>
      </c>
      <c r="E35" s="37" t="n">
        <f aca="false">12*66000*INDEX('Допущения C'!$C$25:$G$31,MATCH("ФОТ",'Допущения C'!$B$25:$B$31,0),1)</f>
        <v>792000</v>
      </c>
      <c r="F35" s="37" t="n">
        <f aca="false">16*66000*INDEX('Допущения C'!$C$25:$G$31,MATCH("ФОТ",'Допущения C'!$B$25:$B$31,0),2)</f>
        <v>1182720</v>
      </c>
      <c r="G35" s="37" t="n">
        <f aca="false">20*66000*INDEX('Допущения C'!$C$25:$G$31,MATCH("ФОТ",'Допущения C'!$B$25:$B$31,0),3)</f>
        <v>1655808</v>
      </c>
      <c r="H35" s="37" t="n">
        <f aca="false">24*66000*INDEX('Допущения C'!$C$25:$G$31,MATCH("ФОТ",'Допущения C'!$B$25:$B$31,0),4)</f>
        <v>2225405.952</v>
      </c>
      <c r="I35" s="37" t="n">
        <f aca="false">26*66000*INDEX('Допущения C'!$C$25:$G$31,MATCH("ФОТ",'Допущения C'!$B$25:$B$31,0),5)</f>
        <v>2700159.22176</v>
      </c>
      <c r="J35" s="37" t="n">
        <f aca="false">SUM(E35:I35)</f>
        <v>8556093.17376</v>
      </c>
      <c r="K35" s="38"/>
      <c r="L35" s="39" t="s">
        <v>300</v>
      </c>
    </row>
    <row r="36" customFormat="false" ht="15.75" hidden="false" customHeight="true" outlineLevel="0" collapsed="false">
      <c r="B36" s="22" t="s">
        <v>208</v>
      </c>
      <c r="C36" s="35" t="s">
        <v>147</v>
      </c>
      <c r="D36" s="36" t="n">
        <v>312000</v>
      </c>
      <c r="E36" s="37" t="n">
        <f aca="false">4*78000*INDEX('Допущения C'!$C$25:$G$31,MATCH("ФОТ",'Допущения C'!$B$25:$B$31,0),1)</f>
        <v>312000</v>
      </c>
      <c r="F36" s="37" t="n">
        <f aca="false">5*78000*INDEX('Допущения C'!$C$25:$G$31,MATCH("ФОТ",'Допущения C'!$B$25:$B$31,0),2)</f>
        <v>436800</v>
      </c>
      <c r="G36" s="37" t="n">
        <f aca="false">6*78000*INDEX('Допущения C'!$C$25:$G$31,MATCH("ФОТ",'Допущения C'!$B$25:$B$31,0),3)</f>
        <v>587059.2</v>
      </c>
      <c r="H36" s="37" t="n">
        <f aca="false">6*78000*INDEX('Допущения C'!$C$25:$G$31,MATCH("ФОТ",'Допущения C'!$B$25:$B$31,0),4)</f>
        <v>657506.304</v>
      </c>
      <c r="I36" s="37" t="n">
        <f aca="false">7*78000*INDEX('Допущения C'!$C$25:$G$31,MATCH("ФОТ",'Допущения C'!$B$25:$B$31,0),5)</f>
        <v>859141.57056</v>
      </c>
      <c r="J36" s="37" t="n">
        <f aca="false">SUM(E36:I36)</f>
        <v>2852507.07456</v>
      </c>
      <c r="K36" s="38"/>
      <c r="L36" s="39" t="s">
        <v>301</v>
      </c>
    </row>
    <row r="37" customFormat="false" ht="15.75" hidden="false" customHeight="true" outlineLevel="0" collapsed="false">
      <c r="B37" s="22" t="s">
        <v>210</v>
      </c>
      <c r="C37" s="35" t="s">
        <v>147</v>
      </c>
      <c r="D37" s="36" t="n">
        <v>96000</v>
      </c>
      <c r="E37" s="37" t="n">
        <f aca="false">2*48000*INDEX('Допущения C'!$C$25:$G$31,MATCH("ФОТ",'Допущения C'!$B$25:$B$31,0),1)</f>
        <v>96000</v>
      </c>
      <c r="F37" s="37" t="n">
        <f aca="false">3*48000*INDEX('Допущения C'!$C$25:$G$31,MATCH("ФОТ",'Допущения C'!$B$25:$B$31,0),2)</f>
        <v>161280</v>
      </c>
      <c r="G37" s="37" t="n">
        <f aca="false">4*48000*INDEX('Допущения C'!$C$25:$G$31,MATCH("ФОТ",'Допущения C'!$B$25:$B$31,0),3)</f>
        <v>240844.8</v>
      </c>
      <c r="H37" s="37" t="n">
        <f aca="false">4*48000*INDEX('Допущения C'!$C$25:$G$31,MATCH("ФОТ",'Допущения C'!$B$25:$B$31,0),4)</f>
        <v>269746.176</v>
      </c>
      <c r="I37" s="37" t="n">
        <f aca="false">5*48000*INDEX('Допущения C'!$C$25:$G$31,MATCH("ФОТ",'Допущения C'!$B$25:$B$31,0),5)</f>
        <v>377644.6464</v>
      </c>
      <c r="J37" s="37" t="n">
        <f aca="false">SUM(E37:I37)</f>
        <v>1145515.6224</v>
      </c>
      <c r="K37" s="38"/>
      <c r="L37" s="39" t="s">
        <v>302</v>
      </c>
    </row>
    <row r="38" customFormat="false" ht="15.75" hidden="false" customHeight="true" outlineLevel="0" collapsed="false">
      <c r="B38" s="22" t="s">
        <v>212</v>
      </c>
      <c r="C38" s="35" t="s">
        <v>147</v>
      </c>
      <c r="D38" s="36" t="n">
        <v>240000</v>
      </c>
      <c r="E38" s="37" t="n">
        <f aca="false">IF($D38="","",$D38*INDEX('Допущения C'!$C$25:$G$31,MATCH($C38,'Допущения C'!$B$25:$B$31,0),1))</f>
        <v>240000</v>
      </c>
      <c r="F38" s="37" t="n">
        <f aca="false">IF($D38="","",$D38*INDEX('Допущения C'!$C$25:$G$31,MATCH($C38,'Допущения C'!$B$25:$B$31,0),2))</f>
        <v>268800</v>
      </c>
      <c r="G38" s="37" t="n">
        <f aca="false">IF($D38="","",$D38*INDEX('Допущения C'!$C$25:$G$31,MATCH($C38,'Допущения C'!$B$25:$B$31,0),3))</f>
        <v>301056</v>
      </c>
      <c r="H38" s="37" t="n">
        <f aca="false">IF($D38="","",$D38*INDEX('Допущения C'!$C$25:$G$31,MATCH($C38,'Допущения C'!$B$25:$B$31,0),4))</f>
        <v>337182.72</v>
      </c>
      <c r="I38" s="37" t="n">
        <f aca="false">IF($D38="","",$D38*INDEX('Допущения C'!$C$25:$G$31,MATCH($C38,'Допущения C'!$B$25:$B$31,0),5))</f>
        <v>377644.6464</v>
      </c>
      <c r="J38" s="37" t="n">
        <f aca="false">SUM(E38:I38)</f>
        <v>1524683.3664</v>
      </c>
      <c r="K38" s="38"/>
      <c r="L38" s="39" t="s">
        <v>274</v>
      </c>
    </row>
    <row r="39" customFormat="false" ht="15.75" hidden="false" customHeight="true" outlineLevel="0" collapsed="false">
      <c r="B39" s="22" t="s">
        <v>303</v>
      </c>
      <c r="C39" s="35" t="s">
        <v>147</v>
      </c>
      <c r="D39" s="36" t="n">
        <v>90000</v>
      </c>
      <c r="E39" s="37" t="n">
        <f aca="false">1*90000*INDEX('Допущения C'!$C$25:$G$31,MATCH("ФОТ",'Допущения C'!$B$25:$B$31,0),1)</f>
        <v>90000</v>
      </c>
      <c r="F39" s="37" t="n">
        <f aca="false">1*90000*INDEX('Допущения C'!$C$25:$G$31,MATCH("ФОТ",'Допущения C'!$B$25:$B$31,0),2)</f>
        <v>100800</v>
      </c>
      <c r="G39" s="37" t="n">
        <f aca="false">1*90000*INDEX('Допущения C'!$C$25:$G$31,MATCH("ФОТ",'Допущения C'!$B$25:$B$31,0),3)</f>
        <v>112896</v>
      </c>
      <c r="H39" s="37" t="n">
        <f aca="false">1*90000*INDEX('Допущения C'!$C$25:$G$31,MATCH("ФОТ",'Допущения C'!$B$25:$B$31,0),4)</f>
        <v>126443.52</v>
      </c>
      <c r="I39" s="37" t="n">
        <f aca="false">1*90000*INDEX('Допущения C'!$C$25:$G$31,MATCH("ФОТ",'Допущения C'!$B$25:$B$31,0),5)</f>
        <v>141616.7424</v>
      </c>
      <c r="J39" s="37" t="n">
        <f aca="false">SUM(E39:I39)</f>
        <v>571756.2624</v>
      </c>
      <c r="K39" s="38"/>
      <c r="L39" s="39" t="s">
        <v>304</v>
      </c>
    </row>
    <row r="40" customFormat="false" ht="15.75" hidden="false" customHeight="true" outlineLevel="0" collapsed="false">
      <c r="B40" s="41" t="s">
        <v>182</v>
      </c>
      <c r="C40" s="42"/>
      <c r="D40" s="42"/>
      <c r="E40" s="43" t="n">
        <f aca="false">SUM(E35:E39)</f>
        <v>1530000</v>
      </c>
      <c r="F40" s="43" t="n">
        <f aca="false">SUM(F35:F39)</f>
        <v>2150400</v>
      </c>
      <c r="G40" s="43" t="n">
        <f aca="false">SUM(G35:G39)</f>
        <v>2897664</v>
      </c>
      <c r="H40" s="43" t="n">
        <f aca="false">SUM(H35:H39)</f>
        <v>3616284.672</v>
      </c>
      <c r="I40" s="43" t="n">
        <f aca="false">SUM(I35:I39)</f>
        <v>4456206.82752</v>
      </c>
      <c r="J40" s="43" t="n">
        <f aca="false">SUM(J35:J39)</f>
        <v>14650555.49952</v>
      </c>
      <c r="K40" s="44" t="n">
        <f aca="false">IFERROR(J40/$J$51,0)</f>
        <v>0.273499888502088</v>
      </c>
      <c r="L40" s="42"/>
    </row>
    <row r="41" customFormat="false" ht="15.75" hidden="false" customHeight="true" outlineLevel="0" collapsed="false">
      <c r="C41" s="45"/>
    </row>
    <row r="42" customFormat="false" ht="15.75" hidden="false" customHeight="true" outlineLevel="0" collapsed="false">
      <c r="B42" s="19" t="s">
        <v>214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</row>
    <row r="43" customFormat="false" ht="15.75" hidden="false" customHeight="true" outlineLevel="0" collapsed="false">
      <c r="B43" s="22" t="s">
        <v>215</v>
      </c>
      <c r="C43" s="35" t="s">
        <v>143</v>
      </c>
      <c r="D43" s="36" t="n">
        <v>25000</v>
      </c>
      <c r="E43" s="36" t="n">
        <v>25000</v>
      </c>
      <c r="F43" s="36" t="n">
        <v>10000</v>
      </c>
      <c r="G43" s="36" t="n">
        <v>10000</v>
      </c>
      <c r="H43" s="36" t="n">
        <v>10000</v>
      </c>
      <c r="I43" s="36" t="n">
        <v>10000</v>
      </c>
      <c r="J43" s="37" t="n">
        <f aca="false">SUM(E43:I43)</f>
        <v>65000</v>
      </c>
      <c r="K43" s="38"/>
      <c r="L43" s="39" t="s">
        <v>216</v>
      </c>
    </row>
    <row r="44" customFormat="false" ht="15.75" hidden="false" customHeight="true" outlineLevel="0" collapsed="false">
      <c r="B44" s="22" t="s">
        <v>217</v>
      </c>
      <c r="C44" s="35" t="s">
        <v>145</v>
      </c>
      <c r="D44" s="36" t="n">
        <v>15000</v>
      </c>
      <c r="E44" s="37" t="n">
        <f aca="false">IF($D44="","",$D44*INDEX('Допущения C'!$C$25:$G$31,MATCH($C44,'Допущения C'!$B$25:$B$31,0),1))</f>
        <v>15000</v>
      </c>
      <c r="F44" s="37" t="n">
        <f aca="false">IF($D44="","",$D44*INDEX('Допущения C'!$C$25:$G$31,MATCH($C44,'Допущения C'!$B$25:$B$31,0),2))</f>
        <v>16200</v>
      </c>
      <c r="G44" s="37" t="n">
        <f aca="false">IF($D44="","",$D44*INDEX('Допущения C'!$C$25:$G$31,MATCH($C44,'Допущения C'!$B$25:$B$31,0),3))</f>
        <v>17496</v>
      </c>
      <c r="H44" s="37" t="n">
        <f aca="false">IF($D44="","",$D44*INDEX('Допущения C'!$C$25:$G$31,MATCH($C44,'Допущения C'!$B$25:$B$31,0),4))</f>
        <v>18895.68</v>
      </c>
      <c r="I44" s="37" t="n">
        <f aca="false">IF($D44="","",$D44*INDEX('Допущения C'!$C$25:$G$31,MATCH($C44,'Допущения C'!$B$25:$B$31,0),5))</f>
        <v>20407.3344</v>
      </c>
      <c r="J44" s="37" t="n">
        <f aca="false">SUM(E44:I44)</f>
        <v>87999.0144</v>
      </c>
      <c r="K44" s="38"/>
      <c r="L44" s="39" t="s">
        <v>218</v>
      </c>
    </row>
    <row r="45" customFormat="false" ht="15.75" hidden="false" customHeight="true" outlineLevel="0" collapsed="false">
      <c r="B45" s="22" t="s">
        <v>219</v>
      </c>
      <c r="C45" s="35" t="s">
        <v>143</v>
      </c>
      <c r="D45" s="36" t="n">
        <v>40000</v>
      </c>
      <c r="E45" s="37" t="n">
        <f aca="false">$D45</f>
        <v>40000</v>
      </c>
      <c r="F45" s="36" t="n">
        <v>0</v>
      </c>
      <c r="G45" s="36" t="n">
        <v>0</v>
      </c>
      <c r="H45" s="36" t="n">
        <v>0</v>
      </c>
      <c r="I45" s="36" t="n">
        <v>0</v>
      </c>
      <c r="J45" s="37" t="n">
        <f aca="false">SUM(E45:I45)</f>
        <v>40000</v>
      </c>
      <c r="K45" s="38"/>
      <c r="L45" s="39" t="s">
        <v>305</v>
      </c>
    </row>
    <row r="46" customFormat="false" ht="15.75" hidden="false" customHeight="true" outlineLevel="0" collapsed="false">
      <c r="B46" s="22" t="s">
        <v>221</v>
      </c>
      <c r="C46" s="35" t="s">
        <v>147</v>
      </c>
      <c r="D46" s="36" t="n">
        <v>60000</v>
      </c>
      <c r="E46" s="37" t="n">
        <f aca="false">IF($D46="","",$D46*INDEX('Допущения C'!$C$25:$G$31,MATCH($C46,'Допущения C'!$B$25:$B$31,0),1))</f>
        <v>60000</v>
      </c>
      <c r="F46" s="37" t="n">
        <f aca="false">IF($D46="","",$D46*INDEX('Допущения C'!$C$25:$G$31,MATCH($C46,'Допущения C'!$B$25:$B$31,0),2))</f>
        <v>67200</v>
      </c>
      <c r="G46" s="37" t="n">
        <f aca="false">IF($D46="","",$D46*INDEX('Допущения C'!$C$25:$G$31,MATCH($C46,'Допущения C'!$B$25:$B$31,0),3))</f>
        <v>75264</v>
      </c>
      <c r="H46" s="37" t="n">
        <f aca="false">IF($D46="","",$D46*INDEX('Допущения C'!$C$25:$G$31,MATCH($C46,'Допущения C'!$B$25:$B$31,0),4))</f>
        <v>84295.68</v>
      </c>
      <c r="I46" s="37" t="n">
        <f aca="false">IF($D46="","",$D46*INDEX('Допущения C'!$C$25:$G$31,MATCH($C46,'Допущения C'!$B$25:$B$31,0),5))</f>
        <v>94411.1616</v>
      </c>
      <c r="J46" s="37" t="n">
        <f aca="false">SUM(E46:I46)</f>
        <v>381170.8416</v>
      </c>
      <c r="K46" s="38"/>
      <c r="L46" s="39" t="s">
        <v>306</v>
      </c>
    </row>
    <row r="47" customFormat="false" ht="15.75" hidden="false" customHeight="true" outlineLevel="0" collapsed="false">
      <c r="B47" s="22"/>
      <c r="C47" s="40" t="s">
        <v>143</v>
      </c>
      <c r="D47" s="29"/>
      <c r="E47" s="37" t="str">
        <f aca="false">IF($D47="","",$D47*INDEX('Допущения C'!$C$25:$G$31,MATCH($C47,'Допущения C'!$B$25:$B$31,0),1))</f>
        <v/>
      </c>
      <c r="F47" s="37" t="str">
        <f aca="false">IF($D47="","",$D47*INDEX('Допущения C'!$C$25:$G$31,MATCH($C47,'Допущения C'!$B$25:$B$31,0),2))</f>
        <v/>
      </c>
      <c r="G47" s="37" t="str">
        <f aca="false">IF($D47="","",$D47*INDEX('Допущения C'!$C$25:$G$31,MATCH($C47,'Допущения C'!$B$25:$B$31,0),3))</f>
        <v/>
      </c>
      <c r="H47" s="37" t="str">
        <f aca="false">IF($D47="","",$D47*INDEX('Допущения C'!$C$25:$G$31,MATCH($C47,'Допущения C'!$B$25:$B$31,0),4))</f>
        <v/>
      </c>
      <c r="I47" s="37" t="str">
        <f aca="false">IF($D47="","",$D47*INDEX('Допущения C'!$C$25:$G$31,MATCH($C47,'Допущения C'!$B$25:$B$31,0),5))</f>
        <v/>
      </c>
      <c r="J47" s="37" t="n">
        <f aca="false">SUM(E47:I47)</f>
        <v>0</v>
      </c>
      <c r="K47" s="38"/>
      <c r="L47" s="39" t="s">
        <v>181</v>
      </c>
    </row>
    <row r="48" customFormat="false" ht="15.75" hidden="false" customHeight="true" outlineLevel="0" collapsed="false">
      <c r="B48" s="41" t="s">
        <v>182</v>
      </c>
      <c r="C48" s="42"/>
      <c r="D48" s="42"/>
      <c r="E48" s="43" t="n">
        <f aca="false">SUM(E43:E47)</f>
        <v>140000</v>
      </c>
      <c r="F48" s="43" t="n">
        <f aca="false">SUM(F43:F47)</f>
        <v>93400</v>
      </c>
      <c r="G48" s="43" t="n">
        <f aca="false">SUM(G43:G47)</f>
        <v>102760</v>
      </c>
      <c r="H48" s="43" t="n">
        <f aca="false">SUM(H43:H47)</f>
        <v>113191.36</v>
      </c>
      <c r="I48" s="43" t="n">
        <f aca="false">SUM(I43:I47)</f>
        <v>124818.496</v>
      </c>
      <c r="J48" s="43" t="n">
        <f aca="false">SUM(J43:J47)</f>
        <v>574169.856</v>
      </c>
      <c r="K48" s="44" t="n">
        <f aca="false">IFERROR(J48/$J$51,0)</f>
        <v>0.0107187329246597</v>
      </c>
      <c r="L48" s="42"/>
    </row>
    <row r="49" customFormat="false" ht="15.75" hidden="false" customHeight="true" outlineLevel="0" collapsed="false">
      <c r="C49" s="45"/>
    </row>
    <row r="50" customFormat="false" ht="15.75" hidden="false" customHeight="true" outlineLevel="0" collapsed="false">
      <c r="B50" s="26" t="s">
        <v>223</v>
      </c>
      <c r="C50" s="45"/>
      <c r="E50" s="46" t="n">
        <f aca="false">(E15+E24+E32+E40+E48)*'Допущения C'!$C$17</f>
        <v>351315</v>
      </c>
      <c r="F50" s="46" t="n">
        <f aca="false">(F15+F24+F32+F40+F48)*'Допущения C'!$C$17</f>
        <v>648982.802562592</v>
      </c>
      <c r="G50" s="46" t="n">
        <f aca="false">(G15+G24+G32+G40+G48)*'Допущения C'!$C$17</f>
        <v>1189266.64536855</v>
      </c>
      <c r="H50" s="46" t="n">
        <f aca="false">(H15+H24+H32+H40+H48)*'Допущения C'!$C$17</f>
        <v>1900978.28101037</v>
      </c>
      <c r="I50" s="46" t="n">
        <f aca="false">(I15+I24+I32+I40+I48)*'Допущения C'!$C$17</f>
        <v>2896451.05793871</v>
      </c>
      <c r="J50" s="37" t="n">
        <f aca="false">SUM(E50:I50)</f>
        <v>6986993.78688022</v>
      </c>
      <c r="L50" s="18" t="s">
        <v>224</v>
      </c>
    </row>
    <row r="51" customFormat="false" ht="15.75" hidden="false" customHeight="true" outlineLevel="0" collapsed="false">
      <c r="B51" s="41" t="s">
        <v>225</v>
      </c>
      <c r="C51" s="45"/>
      <c r="E51" s="43" t="n">
        <f aca="false">E15+E24+E32+E40+E48+E50</f>
        <v>2693415</v>
      </c>
      <c r="F51" s="43" t="n">
        <f aca="false">F15+F24+F32+F40+F48+F50</f>
        <v>4975534.81964654</v>
      </c>
      <c r="G51" s="43" t="n">
        <f aca="false">G15+G24+G32+G40+G48+G50</f>
        <v>9117710.94782553</v>
      </c>
      <c r="H51" s="43" t="n">
        <f aca="false">H15+H24+H32+H40+H48+H50</f>
        <v>14574166.8210795</v>
      </c>
      <c r="I51" s="43" t="n">
        <f aca="false">I15+I24+I32+I40+I48+I50</f>
        <v>22206124.7775301</v>
      </c>
      <c r="J51" s="43" t="n">
        <f aca="false">SUM(E51:I51)</f>
        <v>53566952.3660817</v>
      </c>
    </row>
    <row r="52" customFormat="false" ht="15.75" hidden="false" customHeight="true" outlineLevel="0" collapsed="false">
      <c r="B52" s="19" t="s">
        <v>226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</row>
    <row r="53" customFormat="false" ht="15.75" hidden="false" customHeight="true" outlineLevel="0" collapsed="false">
      <c r="B53" s="22" t="s">
        <v>227</v>
      </c>
      <c r="E53" s="46" t="n">
        <f aca="false">(1-'Допущения C'!$C$20)*525600*MIN('Допущения C'!$C$19,'Допущения C'!C10/525600*'Допущения C'!$C$22)*'Допущения C'!$C$21</f>
        <v>5999.99999999934</v>
      </c>
      <c r="F53" s="46" t="n">
        <f aca="false">(1-'Допущения C'!$C$20)*525600*MIN('Допущения C'!$C$19,'Допущения C'!D10/525600*'Допущения C'!$C$22)*'Допущения C'!$C$21</f>
        <v>25199.9999999972</v>
      </c>
      <c r="G53" s="46" t="n">
        <f aca="false">(1-'Допущения C'!$C$20)*525600*MIN('Допущения C'!$C$19,'Допущения C'!E10/525600*'Допущения C'!$C$22)*'Допущения C'!$C$21</f>
        <v>65999.9999999927</v>
      </c>
      <c r="H53" s="46" t="n">
        <f aca="false">(1-'Допущения C'!$C$20)*525600*MIN('Допущения C'!$C$19,'Допущения C'!F10/525600*'Допущения C'!$C$22)*'Допущения C'!$C$21</f>
        <v>126499.999999986</v>
      </c>
      <c r="I53" s="46" t="n">
        <f aca="false">(1-'Допущения C'!$C$20)*525600*MIN('Допущения C'!$C$19,'Допущения C'!G10/525600*'Допущения C'!$C$22)*'Допущения C'!$C$21</f>
        <v>215999.999999976</v>
      </c>
      <c r="J53" s="37" t="n">
        <f aca="false">SUM(E53:I53)</f>
        <v>439699.999999952</v>
      </c>
      <c r="L53" s="24" t="s">
        <v>228</v>
      </c>
    </row>
    <row r="54" customFormat="false" ht="15.75" hidden="false" customHeight="true" outlineLevel="0" collapsed="false">
      <c r="B54" s="41" t="s">
        <v>229</v>
      </c>
      <c r="E54" s="43" t="n">
        <f aca="false">E51+E53</f>
        <v>2699415</v>
      </c>
      <c r="F54" s="43" t="n">
        <f aca="false">F51+F53</f>
        <v>5000734.81964653</v>
      </c>
      <c r="G54" s="43" t="n">
        <f aca="false">G51+G53</f>
        <v>9183710.94782552</v>
      </c>
      <c r="H54" s="43" t="n">
        <f aca="false">H51+H53</f>
        <v>14700666.8210795</v>
      </c>
      <c r="I54" s="43" t="n">
        <f aca="false">I51+I53</f>
        <v>22422124.7775301</v>
      </c>
      <c r="J54" s="43" t="n">
        <f aca="false">SUM(E54:I54)</f>
        <v>54006652.3660817</v>
      </c>
    </row>
    <row r="55" customFormat="false" ht="15.75" hidden="false" customHeight="true" outlineLevel="0" collapsed="false">
      <c r="B55" s="22" t="s">
        <v>230</v>
      </c>
      <c r="E55" s="47" t="n">
        <f aca="false">1/(1+'Допущения C'!$C$16)^0</f>
        <v>1</v>
      </c>
      <c r="F55" s="47" t="n">
        <f aca="false">1/(1+'Допущения C'!$C$16)^1</f>
        <v>0.833333333333333</v>
      </c>
      <c r="G55" s="47" t="n">
        <f aca="false">1/(1+'Допущения C'!$C$16)^2</f>
        <v>0.694444444444444</v>
      </c>
      <c r="H55" s="47" t="n">
        <f aca="false">1/(1+'Допущения C'!$C$16)^3</f>
        <v>0.578703703703704</v>
      </c>
      <c r="I55" s="47" t="n">
        <f aca="false">1/(1+'Допущения C'!$C$16)^4</f>
        <v>0.482253086419753</v>
      </c>
    </row>
    <row r="56" customFormat="false" ht="15.75" hidden="false" customHeight="true" outlineLevel="0" collapsed="false">
      <c r="B56" s="41" t="s">
        <v>231</v>
      </c>
      <c r="E56" s="43" t="n">
        <f aca="false">E54*E55</f>
        <v>2699415</v>
      </c>
      <c r="F56" s="43" t="n">
        <f aca="false">F54*F55</f>
        <v>4167279.01637211</v>
      </c>
      <c r="G56" s="43" t="n">
        <f aca="false">G54*G55</f>
        <v>6377577.04710105</v>
      </c>
      <c r="H56" s="43" t="n">
        <f aca="false">H54*H55</f>
        <v>8507330.33627285</v>
      </c>
      <c r="I56" s="43" t="n">
        <f aca="false">I54*I55</f>
        <v>10813138.8780527</v>
      </c>
      <c r="J56" s="43" t="n">
        <f aca="false">SUM(E56:I56)</f>
        <v>32564740.2777987</v>
      </c>
    </row>
    <row r="57" customFormat="false" ht="15.75" hidden="false" customHeight="true" outlineLevel="0" collapsed="false"/>
    <row r="58" customFormat="false" ht="15.75" hidden="false" customHeight="true" outlineLevel="0" collapsed="false">
      <c r="B58" s="19" t="s">
        <v>232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</row>
    <row r="59" customFormat="false" ht="15.75" hidden="false" customHeight="true" outlineLevel="0" collapsed="false">
      <c r="B59" s="26" t="s">
        <v>233</v>
      </c>
      <c r="E59" s="48" t="n">
        <f aca="false">J51</f>
        <v>53566952.3660817</v>
      </c>
      <c r="F59" s="48"/>
      <c r="L59" s="24" t="s">
        <v>234</v>
      </c>
    </row>
    <row r="60" customFormat="false" ht="15.75" hidden="false" customHeight="true" outlineLevel="0" collapsed="false">
      <c r="B60" s="26" t="s">
        <v>235</v>
      </c>
      <c r="E60" s="48" t="n">
        <f aca="false">J54</f>
        <v>54006652.3660817</v>
      </c>
      <c r="F60" s="48"/>
      <c r="L60" s="24" t="s">
        <v>236</v>
      </c>
    </row>
    <row r="61" customFormat="false" ht="15.75" hidden="false" customHeight="true" outlineLevel="0" collapsed="false">
      <c r="B61" s="26" t="s">
        <v>237</v>
      </c>
      <c r="E61" s="48" t="n">
        <f aca="false">J56</f>
        <v>32564740.2777987</v>
      </c>
      <c r="F61" s="48"/>
      <c r="L61" s="24" t="s">
        <v>238</v>
      </c>
    </row>
    <row r="62" customFormat="false" ht="15.75" hidden="false" customHeight="true" outlineLevel="0" collapsed="false">
      <c r="B62" s="26" t="s">
        <v>239</v>
      </c>
      <c r="E62" s="48" t="n">
        <f aca="false">J51/5</f>
        <v>10713390.4732163</v>
      </c>
      <c r="F62" s="48"/>
      <c r="L62" s="24" t="s">
        <v>240</v>
      </c>
    </row>
    <row r="63" customFormat="false" ht="15.75" hidden="false" customHeight="true" outlineLevel="0" collapsed="false">
      <c r="B63" s="26" t="s">
        <v>241</v>
      </c>
      <c r="E63" s="48" t="n">
        <f aca="false">(E15+E24)/12</f>
        <v>23658.3333333333</v>
      </c>
      <c r="F63" s="48"/>
      <c r="L63" s="24" t="s">
        <v>242</v>
      </c>
    </row>
    <row r="64" customFormat="false" ht="15.75" hidden="false" customHeight="true" outlineLevel="0" collapsed="false">
      <c r="B64" s="26" t="s">
        <v>243</v>
      </c>
      <c r="E64" s="49" t="str">
        <f aca="false">IF((E15+E24)/12&lt;='Допущения C'!$C$18,"В бюджете CFO","ПРЕВЫШЕНИЕ бюджета")</f>
        <v>ПРЕВЫШЕНИЕ бюджета</v>
      </c>
      <c r="F64" s="49"/>
      <c r="L64" s="24" t="s">
        <v>244</v>
      </c>
    </row>
    <row r="65" customFormat="false" ht="15.75" hidden="false" customHeight="true" outlineLevel="0" collapsed="false">
      <c r="B65" s="26" t="s">
        <v>245</v>
      </c>
      <c r="E65" s="50" t="n">
        <f aca="false">IFERROR(J51/SUM('Допущения C'!$C$8:$G$8),0)</f>
        <v>1.40965664121268</v>
      </c>
      <c r="F65" s="50"/>
      <c r="L65" s="24" t="s">
        <v>246</v>
      </c>
    </row>
    <row r="66" customFormat="false" ht="15.75" hidden="false" customHeight="true" outlineLevel="0" collapsed="false">
      <c r="B66" s="26" t="s">
        <v>247</v>
      </c>
      <c r="E66" s="50" t="n">
        <f aca="false">IFERROR(I51/'Допущения C'!$G$7,0)</f>
        <v>3.70102079625502</v>
      </c>
      <c r="F66" s="50"/>
      <c r="L66" s="24" t="s">
        <v>248</v>
      </c>
    </row>
    <row r="67" customFormat="false" ht="15.75" hidden="false" customHeight="true" outlineLevel="0" collapsed="false">
      <c r="B67" s="26" t="s">
        <v>249</v>
      </c>
      <c r="E67" s="51" t="n">
        <f aca="false">IFERROR(J51/SUM('Допущения C'!$C$10:$G$10),0)</f>
        <v>0.0609130684171955</v>
      </c>
      <c r="F67" s="51"/>
      <c r="L67" s="24" t="s">
        <v>250</v>
      </c>
    </row>
    <row r="68" customFormat="false" ht="15.75" hidden="false" customHeight="true" outlineLevel="0" collapsed="false">
      <c r="B68" s="26" t="s">
        <v>251</v>
      </c>
      <c r="E68" s="52" t="n">
        <f aca="false">IFERROR(J15/J51,0)</f>
        <v>0.062537040296543</v>
      </c>
      <c r="F68" s="52"/>
      <c r="L68" s="24" t="s">
        <v>252</v>
      </c>
    </row>
    <row r="69" customFormat="false" ht="15.75" hidden="false" customHeight="true" outlineLevel="0" collapsed="false">
      <c r="B69" s="26" t="s">
        <v>253</v>
      </c>
      <c r="E69" s="52" t="n">
        <f aca="false">IFERROR(J32/J51,0)</f>
        <v>0.510243700504168</v>
      </c>
      <c r="F69" s="52"/>
      <c r="L69" s="24" t="s">
        <v>254</v>
      </c>
    </row>
    <row r="70" customFormat="false" ht="15.75" hidden="false" customHeight="true" outlineLevel="0" collapsed="false">
      <c r="B70" s="26" t="s">
        <v>255</v>
      </c>
      <c r="E70" s="52" t="n">
        <f aca="false">IFERROR(J40/J51,0)</f>
        <v>0.273499888502088</v>
      </c>
      <c r="F70" s="52"/>
      <c r="L70" s="24" t="s">
        <v>256</v>
      </c>
    </row>
    <row r="71" customFormat="false" ht="15.75" hidden="false" customHeight="true" outlineLevel="0" collapsed="false">
      <c r="B71" s="1" t="s">
        <v>257</v>
      </c>
      <c r="E71" s="53" t="n">
        <f aca="false">E51/'Допущения C'!C8</f>
        <v>4.489025</v>
      </c>
      <c r="L71" s="1" t="s">
        <v>258</v>
      </c>
    </row>
    <row r="72" customFormat="false" ht="15.75" hidden="false" customHeight="true" outlineLevel="0" collapsed="false">
      <c r="B72" s="54" t="s">
        <v>259</v>
      </c>
      <c r="C72" s="54"/>
      <c r="D72" s="54"/>
      <c r="E72" s="54" t="n">
        <f aca="false">F51/'Допущения C'!D8</f>
        <v>2.07313950818606</v>
      </c>
      <c r="F72" s="54"/>
      <c r="G72" s="54"/>
      <c r="H72" s="54"/>
      <c r="I72" s="54"/>
      <c r="J72" s="54"/>
      <c r="K72" s="54"/>
      <c r="L72" s="54" t="s">
        <v>260</v>
      </c>
    </row>
    <row r="73" customFormat="false" ht="15" hidden="false" customHeight="true" outlineLevel="0" collapsed="false">
      <c r="B73" s="55" t="s">
        <v>261</v>
      </c>
      <c r="C73" s="55"/>
      <c r="D73" s="55"/>
      <c r="E73" s="55" t="n">
        <f aca="false">(E51-E32*(1+'Допущения C'!$C$17))/'Допущения C'!C8</f>
        <v>3.744975</v>
      </c>
      <c r="F73" s="55"/>
      <c r="G73" s="55"/>
      <c r="H73" s="55"/>
      <c r="I73" s="55"/>
      <c r="J73" s="55"/>
      <c r="K73" s="55"/>
      <c r="L73" s="55" t="s">
        <v>262</v>
      </c>
    </row>
    <row r="74" customFormat="false" ht="15.75" hidden="false" customHeight="true" outlineLevel="0" collapsed="false">
      <c r="B74" s="55" t="s">
        <v>263</v>
      </c>
      <c r="C74" s="55"/>
      <c r="D74" s="55"/>
      <c r="E74" s="55" t="n">
        <f aca="false">(F51-F32*(1+'Допущения C'!$C$17))/'Допущения C'!D8</f>
        <v>1.30263950818606</v>
      </c>
      <c r="F74" s="55"/>
      <c r="G74" s="55"/>
      <c r="H74" s="55"/>
      <c r="I74" s="55"/>
      <c r="J74" s="55"/>
      <c r="K74" s="55"/>
      <c r="L74" s="55"/>
    </row>
    <row r="75" customFormat="false" ht="15.75" hidden="false" customHeight="true" outlineLevel="0" collapsed="false">
      <c r="B75" s="55" t="s">
        <v>264</v>
      </c>
      <c r="C75" s="55"/>
      <c r="D75" s="55"/>
      <c r="E75" s="55" t="n">
        <f aca="false">(J15+J24+J40+J48)*(1+'Допущения C'!$C$17)</f>
        <v>22134922.3660817</v>
      </c>
      <c r="F75" s="55"/>
      <c r="G75" s="55"/>
      <c r="H75" s="55"/>
      <c r="I75" s="55"/>
      <c r="J75" s="55"/>
      <c r="K75" s="55"/>
      <c r="L75" s="55" t="s">
        <v>265</v>
      </c>
    </row>
    <row r="76" customFormat="false" ht="15.75" hidden="false" customHeight="true" outlineLevel="0" collapsed="false"/>
    <row r="77" customFormat="false" ht="15.75" hidden="false" customHeight="true" outlineLevel="0" collapsed="false">
      <c r="B77" s="8" t="s">
        <v>266</v>
      </c>
    </row>
    <row r="78" customFormat="false" ht="15.75" hidden="false" customHeight="true" outlineLevel="0" collapsed="false">
      <c r="B78" s="56" t="s">
        <v>307</v>
      </c>
      <c r="C78" s="56"/>
      <c r="D78" s="56"/>
      <c r="E78" s="56"/>
      <c r="F78" s="56"/>
      <c r="G78" s="56"/>
      <c r="H78" s="56"/>
      <c r="I78" s="56"/>
      <c r="J78" s="56"/>
      <c r="K78" s="56"/>
      <c r="L78" s="56"/>
    </row>
    <row r="79" customFormat="false" ht="15.75" hidden="false" customHeight="true" outlineLevel="0" collapsed="false"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</row>
    <row r="80" customFormat="false" ht="15.75" hidden="false" customHeight="true" outlineLevel="0" collapsed="false"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</row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5"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B72:L72"/>
    <mergeCell ref="B73:L75"/>
    <mergeCell ref="B78:L80"/>
  </mergeCells>
  <dataValidations count="1">
    <dataValidation allowBlank="true" errorStyle="stop" operator="between" showDropDown="false" showErrorMessage="false" showInputMessage="false" sqref="C6:C51" type="list">
      <formula1>"фикс,инфляция,ФОТ,пользователи,заказы,GMV,масштаб"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2026-08-24T07:50:39Z</dcterms:created>
  <dc:creator>openpyxl</dc:creator>
  <dc:description/>
  <dc:language>ru-RU</dc:language>
  <cp:lastModifiedBy/>
  <dcterms:modified xsi:type="dcterms:W3CDTF">2026-10-13T08:26:28Z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